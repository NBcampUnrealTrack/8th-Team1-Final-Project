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플레이어 스테이터스" sheetId="2" state="visible" r:id="rId2"/>
    <sheet xmlns:r="http://schemas.openxmlformats.org/officeDocument/2006/relationships" name="장비 스펙" sheetId="3" state="visible" r:id="rId3"/>
    <sheet xmlns:r="http://schemas.openxmlformats.org/officeDocument/2006/relationships" name="평가 점수" sheetId="4" state="visible" r:id="rId4"/>
    <sheet xmlns:r="http://schemas.openxmlformats.org/officeDocument/2006/relationships" name="경제·크레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;0"/>
    <numFmt numFmtId="165" formatCode="#,##0.0"/>
    <numFmt numFmtId="166" formatCode="#,##0&quot;₡&quot;"/>
    <numFmt numFmtId="167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b val="1"/>
      <color rgb="001F4E78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6" fontId="2" fillId="6" borderId="1" applyAlignment="1" pivotButton="0" quotePrefix="0" xfId="0">
      <alignment horizontal="left" vertical="center" wrapText="1"/>
    </xf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30" customWidth="1" min="4" max="4"/>
  </cols>
  <sheetData>
    <row r="1" ht="22" customHeight="1">
      <c r="A1" s="1" t="inlineStr">
        <is>
          <t>X-7 수치 종합표 (Develop)</t>
        </is>
      </c>
    </row>
    <row r="2" ht="30" customHeight="1">
      <c r="A2" s="2" t="inlineStr">
        <is>
          <t>이 파일은 Docs/X-7 기지 기획서의 02·05·07·08 문서에 흩어져 있는 숫자를 한 파일에서 볼 수 있도록 정리한 참조용 요약표입니다.</t>
        </is>
      </c>
    </row>
    <row r="4">
      <c r="A4" s="3" t="inlineStr">
        <is>
          <t>탭</t>
        </is>
      </c>
      <c r="B4" s="3" t="inlineStr">
        <is>
          <t>내용</t>
        </is>
      </c>
      <c r="C4" s="3" t="inlineStr">
        <is>
          <t>원본 문서</t>
        </is>
      </c>
      <c r="D4" s="3" t="inlineStr">
        <is>
          <t>비고</t>
        </is>
      </c>
    </row>
    <row r="5">
      <c r="A5" s="4" t="n"/>
      <c r="B5" s="4" t="inlineStr">
        <is>
          <t>플레이어 스테이터스</t>
        </is>
      </c>
      <c r="C5" s="4" t="inlineStr">
        <is>
          <t>HP·오염수 피해·산소·인벤토리·사망/부활·일과 시간 등 캐릭터 관련 수치</t>
        </is>
      </c>
      <c r="D5" s="4" t="inlineStr">
        <is>
          <t>02 시스템 기획</t>
        </is>
      </c>
    </row>
    <row r="6">
      <c r="A6" s="4" t="n"/>
      <c r="B6" s="4" t="inlineStr">
        <is>
          <t>장비 스펙</t>
        </is>
      </c>
      <c r="C6" s="4" t="inlineStr">
        <is>
          <t>상점 아이템별 가격·내구도·소모값·효과</t>
        </is>
      </c>
      <c r="D6" s="4" t="inlineStr">
        <is>
          <t>07 §4, 08 전체</t>
        </is>
      </c>
    </row>
    <row r="7">
      <c r="A7" s="4" t="n"/>
      <c r="B7" s="4" t="inlineStr">
        <is>
          <t>평가 점수</t>
        </is>
      </c>
      <c r="C7" s="4" t="inlineStr">
        <is>
          <t>Day2/3/4 현장 점검에 쓰이는 가산·차감 점수 전체 목록</t>
        </is>
      </c>
      <c r="D7" s="4" t="inlineStr">
        <is>
          <t>05 수치 기획</t>
        </is>
      </c>
    </row>
    <row r="8">
      <c r="A8" s="4" t="n"/>
      <c r="B8" s="4" t="inlineStr">
        <is>
          <t>경제·크레딧</t>
        </is>
      </c>
      <c r="C8" s="4" t="inlineStr">
        <is>
          <t>착수금·환급·퀘스트 보수·대출·난이도별 물가</t>
        </is>
      </c>
      <c r="D8" s="4" t="inlineStr">
        <is>
          <t>07 경제 시스템</t>
        </is>
      </c>
    </row>
    <row r="10">
      <c r="A10" s="5" t="inlineStr">
        <is>
          <t>※ 문서 간 숫자가 충돌하면 02=규칙, 05=평가 점수, 07=크레딧 가격이 우선 (01 콘셉트 §9 원칙).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46" customWidth="1" min="4" max="4"/>
  </cols>
  <sheetData>
    <row r="1" ht="22" customHeight="1">
      <c r="A1" s="1" t="inlineStr">
        <is>
          <t>플레이어 스테이터스</t>
        </is>
      </c>
    </row>
    <row r="3">
      <c r="A3" s="3" t="inlineStr">
        <is>
          <t>항목</t>
        </is>
      </c>
      <c r="B3" s="3" t="inlineStr">
        <is>
          <t>수치</t>
        </is>
      </c>
      <c r="C3" s="3" t="inlineStr">
        <is>
          <t>단위</t>
        </is>
      </c>
      <c r="D3" s="3" t="inlineStr">
        <is>
          <t>비고 (출처)</t>
        </is>
      </c>
    </row>
    <row r="4">
      <c r="A4" s="4" t="inlineStr">
        <is>
          <t>건강/부상/사망 상태 수</t>
        </is>
      </c>
      <c r="B4" s="6" t="n">
        <v>3</v>
      </c>
      <c r="C4" s="7" t="inlineStr">
        <is>
          <t>단계</t>
        </is>
      </c>
      <c r="D4" s="4" t="inlineStr">
        <is>
          <t>건강→부상→사망 3단계만. 중간 Down 없음 (02 §6)</t>
        </is>
      </c>
    </row>
    <row r="5">
      <c r="A5" s="4" t="inlineStr">
        <is>
          <t>최대 HP</t>
        </is>
      </c>
      <c r="B5" s="6" t="n">
        <v>100</v>
      </c>
      <c r="C5" s="7" t="inlineStr">
        <is>
          <t>HP</t>
        </is>
      </c>
      <c r="D5" s="4" t="inlineStr">
        <is>
          <t>오염수 위험 볼륨 또는 산소 0 상태에서만 감소 (02 §6)</t>
        </is>
      </c>
    </row>
    <row r="6">
      <c r="A6" s="4" t="inlineStr">
        <is>
          <t>부상 → 건강 회복 수단</t>
        </is>
      </c>
      <c r="B6" s="6" t="inlineStr">
        <is>
          <t>상인에게 유료 지불(모선 전용)</t>
        </is>
      </c>
      <c r="C6" s="7" t="inlineStr">
        <is>
          <t>-</t>
        </is>
      </c>
      <c r="D6" s="4" t="inlineStr">
        <is>
          <t>70₡/회, 아이템 아님·핫바 슬롯 안 씀. 자동/시간경과 회복 없음 (02 §6 전환5, 07 §2.5)</t>
        </is>
      </c>
    </row>
    <row r="7">
      <c r="A7" s="4" t="inlineStr">
        <is>
          <t>오염수 근접 HP 피해</t>
        </is>
      </c>
      <c r="B7" s="6" t="n">
        <v>-8</v>
      </c>
      <c r="C7" s="7" t="inlineStr">
        <is>
          <t>HP/초</t>
        </is>
      </c>
      <c r="D7" s="4" t="inlineStr">
        <is>
          <t>위험 볼륨 안에 있는 동안 지속 (02 §2.4)</t>
        </is>
      </c>
    </row>
    <row r="8">
      <c r="A8" s="4" t="inlineStr">
        <is>
          <t>오염수 위험 반경</t>
        </is>
      </c>
      <c r="B8" s="6" t="n">
        <v>250</v>
      </c>
      <c r="C8" s="7" t="inlineStr">
        <is>
          <t>cm (근사)</t>
        </is>
      </c>
      <c r="D8" s="4" t="inlineStr">
        <is>
          <t>파열부 기준, 확산에 따라 커질 수 있음 (02 §2.4)</t>
        </is>
      </c>
    </row>
    <row r="9">
      <c r="A9" s="4" t="inlineStr">
        <is>
          <t>사망 → 부활 속도</t>
        </is>
      </c>
      <c r="B9" s="6" t="inlineStr">
        <is>
          <t>즉시(빠르게)</t>
        </is>
      </c>
      <c r="C9" s="7" t="inlineStr">
        <is>
          <t>-</t>
        </is>
      </c>
      <c r="D9" s="4" t="inlineStr">
        <is>
          <t>다운타임 없음. 사망 중 마이크 사용 가능 (02 §6)</t>
        </is>
      </c>
    </row>
    <row r="10">
      <c r="A10" s="4" t="inlineStr">
        <is>
          <t>호감도 범위</t>
        </is>
      </c>
      <c r="B10" s="6" t="inlineStr">
        <is>
          <t>-4.0 ~ +5.0</t>
        </is>
      </c>
      <c r="C10" s="7" t="inlineStr">
        <is>
          <t>점</t>
        </is>
      </c>
      <c r="D10" s="4" t="inlineStr">
        <is>
          <t>소수점 단위 변동 (02 §7)</t>
        </is>
      </c>
    </row>
    <row r="11">
      <c r="A11" s="4" t="inlineStr">
        <is>
          <t>임시 쓰레기통 슬롯</t>
        </is>
      </c>
      <c r="B11" s="6" t="n">
        <v>12</v>
      </c>
      <c r="C11" s="7" t="inlineStr">
        <is>
          <t>슬롯</t>
        </is>
      </c>
      <c r="D11" s="4" t="inlineStr">
        <is>
          <t>조각·쓰레기·오염·따개비·샘플 합산, 혼적 허용 (05 §8)</t>
        </is>
      </c>
    </row>
    <row r="12">
      <c r="A12" s="4" t="inlineStr">
        <is>
          <t>일일 활동 시간(게임 내)</t>
        </is>
      </c>
      <c r="B12" s="6" t="inlineStr">
        <is>
          <t>08:00~18:00</t>
        </is>
      </c>
      <c r="C12" s="7" t="inlineStr">
        <is>
          <t>시:분</t>
        </is>
      </c>
      <c r="D12" s="4" t="inlineStr">
        <is>
          <t>10시간 (02 §5)</t>
        </is>
      </c>
    </row>
    <row r="13">
      <c r="A13" s="4" t="inlineStr">
        <is>
          <t>일일 활동 시간(리얼타임)</t>
        </is>
      </c>
      <c r="B13" s="6" t="n">
        <v>10</v>
      </c>
      <c r="C13" s="7" t="inlineStr">
        <is>
          <t>분</t>
        </is>
      </c>
      <c r="D13" s="4" t="inlineStr">
        <is>
          <t>1일 기준값, 플레이테스트로 재조정 가능 (02 §5)</t>
        </is>
      </c>
    </row>
    <row r="14">
      <c r="A14" s="4" t="inlineStr">
        <is>
          <t>계약 기간</t>
        </is>
      </c>
      <c r="B14" s="6" t="n">
        <v>3</v>
      </c>
      <c r="C14" s="7" t="inlineStr">
        <is>
          <t>일</t>
        </is>
      </c>
      <c r="D14" s="4" t="inlineStr">
        <is>
          <t>+ 무경고 첫 실패 시 비상 4일차 (02 §10)</t>
        </is>
      </c>
    </row>
    <row r="15">
      <c r="A15" s="4" t="inlineStr">
        <is>
          <t>오염물 데칼 마스크 해상도</t>
        </is>
      </c>
      <c r="B15" s="6" t="inlineStr">
        <is>
          <t>256x256</t>
        </is>
      </c>
      <c r="C15" s="7" t="inlineStr">
        <is>
          <t>px</t>
        </is>
      </c>
      <c r="D15" s="4" t="inlineStr">
        <is>
          <t>런타임 렌더타겟, 표면 크기 따라 조정 (02 §1.1)</t>
        </is>
      </c>
    </row>
    <row r="16">
      <c r="B16" s="8" t="n"/>
    </row>
    <row r="17">
      <c r="A17" s="9" t="inlineStr">
        <is>
          <t>산소 (신규)</t>
        </is>
      </c>
      <c r="B17" s="10" t="inlineStr">
        <is>
          <t>수치</t>
        </is>
      </c>
      <c r="C17" s="9" t="inlineStr">
        <is>
          <t>단위</t>
        </is>
      </c>
      <c r="D17" s="9" t="inlineStr">
        <is>
          <t>비고 (출처)</t>
        </is>
      </c>
    </row>
    <row r="18">
      <c r="A18" s="4" t="inlineStr">
        <is>
          <t>기본 지속시간(활동 가능 시간)</t>
        </is>
      </c>
      <c r="B18" s="11" t="n">
        <v>300</v>
      </c>
      <c r="C18" s="7" t="inlineStr">
        <is>
          <t>초</t>
        </is>
      </c>
      <c r="D18" s="4" t="inlineStr">
        <is>
          <t>수면 아래(잠수) 상태일 때만 감소 (02 §6.1)</t>
        </is>
      </c>
    </row>
    <row r="19">
      <c r="A19" s="4" t="inlineStr">
        <is>
          <t>수면 위 / 모선 위</t>
        </is>
      </c>
      <c r="B19" s="6" t="inlineStr">
        <is>
          <t>소모 없음</t>
        </is>
      </c>
      <c r="C19" s="7" t="inlineStr">
        <is>
          <t>-</t>
        </is>
      </c>
      <c r="D19" s="4" t="inlineStr">
        <is>
          <t>잠수 상태가 아니면 산소가 줄지 않는다 (02 §6.1)</t>
        </is>
      </c>
    </row>
    <row r="20">
      <c r="A20" s="4" t="inlineStr">
        <is>
          <t>모선 복귀 시 충전</t>
        </is>
      </c>
      <c r="B20" s="6" t="inlineStr">
        <is>
          <t>즉시 100%</t>
        </is>
      </c>
      <c r="C20" s="7" t="inlineStr">
        <is>
          <t>-</t>
        </is>
      </c>
      <c r="D20" s="4" t="inlineStr">
        <is>
          <t>수면 위는 소모만 멈춤, 완전 충전은 모선에서만 (02 §6.1)</t>
        </is>
      </c>
    </row>
    <row r="21">
      <c r="A21" s="4" t="inlineStr">
        <is>
          <t>산소 캔(IT-O1) 확장</t>
        </is>
      </c>
      <c r="B21" s="6" t="n">
        <v>90</v>
      </c>
      <c r="C21" s="7" t="inlineStr">
        <is>
          <t>초/개</t>
        </is>
      </c>
      <c r="D21" s="4" t="inlineStr">
        <is>
          <t>1회성 소모품, 40₡/개 (08 §5.2)</t>
        </is>
      </c>
    </row>
    <row r="22">
      <c r="A22" s="4" t="inlineStr">
        <is>
          <t>산소 확장 탱크(IT-O2) 확장</t>
        </is>
      </c>
      <c r="B22" s="6" t="inlineStr">
        <is>
          <t>+40%</t>
        </is>
      </c>
      <c r="C22" s="7" t="inlineStr">
        <is>
          <t>기본값 대비</t>
        </is>
      </c>
      <c r="D22" s="4" t="inlineStr">
        <is>
          <t>상시 장비, 320₡ (08 §5.2)</t>
        </is>
      </c>
    </row>
    <row r="23">
      <c r="B23" s="8" t="n"/>
    </row>
    <row r="24">
      <c r="A24" s="9" t="inlineStr">
        <is>
          <t>산소 고갈 HP 피해 (신규)</t>
        </is>
      </c>
      <c r="B24" s="10" t="inlineStr">
        <is>
          <t>수치</t>
        </is>
      </c>
      <c r="C24" s="9" t="inlineStr">
        <is>
          <t>단위</t>
        </is>
      </c>
      <c r="D24" s="9" t="inlineStr">
        <is>
          <t>비고 (출처)</t>
        </is>
      </c>
    </row>
    <row r="25">
      <c r="A25" s="4" t="inlineStr">
        <is>
          <t>피해량</t>
        </is>
      </c>
      <c r="B25" s="6" t="n">
        <v>-15</v>
      </c>
      <c r="C25" s="7" t="inlineStr">
        <is>
          <t>HP/초</t>
        </is>
      </c>
      <c r="D25" s="4" t="inlineStr">
        <is>
          <t>산소 0인 동안, 수면 아래에서만 지속 (02 §6.2)</t>
        </is>
      </c>
    </row>
    <row r="26">
      <c r="A26" s="4" t="inlineStr">
        <is>
          <t>중단 조건</t>
        </is>
      </c>
      <c r="B26" s="12" t="inlineStr">
        <is>
          <t>수면 위 도달 또는 모선 복귀</t>
        </is>
      </c>
      <c r="C26" s="7" t="inlineStr">
        <is>
          <t>-</t>
        </is>
      </c>
      <c r="D26" s="4" t="inlineStr">
        <is>
          <t>즉시 피해 중단 (오염수 DoT와는 별개 규칙, 동시 적용 가능)</t>
        </is>
      </c>
    </row>
    <row r="27">
      <c r="A27" s="4" t="inlineStr">
        <is>
          <t>사망까지 걸리는 시간(참고 계산)</t>
        </is>
      </c>
      <c r="B27" s="13">
        <f>ROUND(B5/-B25,1)</f>
        <v/>
      </c>
      <c r="C27" s="4" t="inlineStr">
        <is>
          <t>초</t>
        </is>
      </c>
      <c r="D27" s="4">
        <f> 최대 HP ÷ 피해량 (HP·피해량 셀 참조, 값이 바뀌면 자동 갱신)</f>
        <v/>
      </c>
    </row>
    <row r="28">
      <c r="B28" s="8" t="n"/>
    </row>
    <row r="29">
      <c r="A29" s="9" t="inlineStr">
        <is>
          <t>사망/미복귀 페널티</t>
        </is>
      </c>
      <c r="B29" s="10" t="inlineStr">
        <is>
          <t>평가 점수</t>
        </is>
      </c>
      <c r="C29" s="9" t="inlineStr">
        <is>
          <t>크레딧</t>
        </is>
      </c>
      <c r="D29" s="9" t="inlineStr">
        <is>
          <t>비고</t>
        </is>
      </c>
    </row>
    <row r="30">
      <c r="A30" s="4" t="inlineStr">
        <is>
          <t>사망 (부활 1회)</t>
        </is>
      </c>
      <c r="B30" s="6" t="n">
        <v>-30</v>
      </c>
      <c r="C30" s="7" t="n">
        <v>-30</v>
      </c>
      <c r="D30" s="4" t="inlineStr">
        <is>
          <t>05 S-10 / 07 M-05</t>
        </is>
      </c>
    </row>
    <row r="31">
      <c r="A31" s="4" t="inlineStr">
        <is>
          <t>미복귀 (1인)</t>
        </is>
      </c>
      <c r="B31" s="6" t="n">
        <v>-35</v>
      </c>
      <c r="C31" s="7" t="n">
        <v>-40</v>
      </c>
      <c r="D31" s="4" t="inlineStr">
        <is>
          <t>05 S-09 / 07 M-04</t>
        </is>
      </c>
    </row>
    <row r="32">
      <c r="A32" s="4" t="inlineStr">
        <is>
          <t>점검 실패 → 경고</t>
        </is>
      </c>
      <c r="B32" s="6" t="n">
        <v>-40</v>
      </c>
      <c r="C32" s="7" t="inlineStr">
        <is>
          <t>다음날 착수금 ×0.7</t>
        </is>
      </c>
      <c r="D32" s="4" t="inlineStr">
        <is>
          <t>05 S-11 / 07 M-06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0" customWidth="1" min="5" max="5"/>
    <col width="34" customWidth="1" min="6" max="6"/>
    <col width="12" customWidth="1" min="7" max="7"/>
    <col width="16" customWidth="1" min="8" max="8"/>
    <col width="14" customWidth="1" min="9" max="9"/>
    <col width="22" customWidth="1" min="10" max="10"/>
  </cols>
  <sheetData>
    <row r="1" ht="22" customHeight="1">
      <c r="A1" s="1" t="inlineStr">
        <is>
          <t>장비 스펙 (아이템)</t>
        </is>
      </c>
    </row>
    <row r="3">
      <c r="A3" s="3" t="inlineStr">
        <is>
          <t>ID</t>
        </is>
      </c>
      <c r="B3" s="3" t="inlineStr">
        <is>
          <t>이름</t>
        </is>
      </c>
      <c r="C3" s="3" t="inlineStr">
        <is>
          <t>카테고리</t>
        </is>
      </c>
      <c r="D3" s="3" t="inlineStr">
        <is>
          <t>가격(₡)</t>
        </is>
      </c>
      <c r="E3" s="3" t="inlineStr">
        <is>
          <t>유형</t>
        </is>
      </c>
      <c r="F3" s="3" t="inlineStr">
        <is>
          <t>핵심 효과</t>
        </is>
      </c>
      <c r="G3" s="3" t="inlineStr">
        <is>
          <t>내구도(사용횟수)</t>
        </is>
      </c>
      <c r="H3" s="3" t="inlineStr">
        <is>
          <t>소모/지속</t>
        </is>
      </c>
      <c r="I3" s="3" t="inlineStr">
        <is>
          <t>회당·초당 단가(₡)</t>
        </is>
      </c>
      <c r="J3" s="3" t="inlineStr">
        <is>
          <t>해금 조건</t>
        </is>
      </c>
    </row>
    <row r="4">
      <c r="A4" s="7" t="inlineStr">
        <is>
          <t>IT-H0</t>
        </is>
      </c>
      <c r="B4" s="4" t="inlineStr">
        <is>
          <t>기본 헤라</t>
        </is>
      </c>
      <c r="C4" s="7" t="inlineStr">
        <is>
          <t>도구</t>
        </is>
      </c>
      <c r="D4" s="14" t="n">
        <v>0</v>
      </c>
      <c r="E4" s="4" t="inlineStr">
        <is>
          <t>장비(지급)</t>
        </is>
      </c>
      <c r="F4" s="4" t="inlineStr">
        <is>
          <t>오염물·따개비 표준 속도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4" t="inlineStr">
        <is>
          <t>-</t>
        </is>
      </c>
    </row>
    <row r="5">
      <c r="A5" s="7" t="inlineStr">
        <is>
          <t>IT-H1</t>
        </is>
      </c>
      <c r="B5" s="4" t="inlineStr">
        <is>
          <t>광폭 헤라</t>
        </is>
      </c>
      <c r="C5" s="7" t="inlineStr">
        <is>
          <t>도구</t>
        </is>
      </c>
      <c r="D5" s="14" t="n">
        <v>450</v>
      </c>
      <c r="E5" s="4" t="inlineStr">
        <is>
          <t>장비</t>
        </is>
      </c>
      <c r="F5" s="4" t="inlineStr">
        <is>
          <t>청소 속도 ×1.6, 샘플 근처 손상위험 +15%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inlineStr">
        <is>
          <t>상점 상시</t>
        </is>
      </c>
    </row>
    <row r="6">
      <c r="A6" s="7" t="inlineStr">
        <is>
          <t>IT-H2</t>
        </is>
      </c>
      <c r="B6" s="4" t="inlineStr">
        <is>
          <t>열선 헤라</t>
        </is>
      </c>
      <c r="C6" s="7" t="inlineStr">
        <is>
          <t>도구</t>
        </is>
      </c>
      <c r="D6" s="14" t="n">
        <v>900</v>
      </c>
      <c r="E6" s="4" t="inlineStr">
        <is>
          <t>장비</t>
        </is>
      </c>
      <c r="F6" s="4" t="inlineStr">
        <is>
          <t>두꺼운 오염·단단 따개비 ×2.2, 배터리 소모</t>
        </is>
      </c>
      <c r="G6" s="7" t="inlineStr">
        <is>
          <t>-</t>
        </is>
      </c>
      <c r="H6" s="7" t="inlineStr">
        <is>
          <t>배터리 1개=90초(IT-HB)</t>
        </is>
      </c>
      <c r="I6" s="7" t="inlineStr">
        <is>
          <t>-</t>
        </is>
      </c>
      <c r="J6" s="4" t="inlineStr">
        <is>
          <t>호감≥0 + 퀘스트 1회</t>
        </is>
      </c>
    </row>
    <row r="7">
      <c r="A7" s="7" t="inlineStr">
        <is>
          <t>IT-HB</t>
        </is>
      </c>
      <c r="B7" s="4" t="inlineStr">
        <is>
          <t>열선 배터리</t>
        </is>
      </c>
      <c r="C7" s="7" t="inlineStr">
        <is>
          <t>소모품</t>
        </is>
      </c>
      <c r="D7" s="14" t="n">
        <v>35</v>
      </c>
      <c r="E7" s="4" t="inlineStr">
        <is>
          <t>소모</t>
        </is>
      </c>
      <c r="F7" s="4" t="inlineStr">
        <is>
          <t>열선 헤라 90초분</t>
        </is>
      </c>
      <c r="G7" s="7" t="inlineStr">
        <is>
          <t>-</t>
        </is>
      </c>
      <c r="H7" s="7" t="inlineStr">
        <is>
          <t>1개=90초</t>
        </is>
      </c>
      <c r="I7" s="15">
        <f>ROUND(D7/90,3)</f>
        <v/>
      </c>
      <c r="J7" s="4" t="inlineStr">
        <is>
          <t>IT-H2 보유</t>
        </is>
      </c>
    </row>
    <row r="8">
      <c r="A8" s="7" t="inlineStr">
        <is>
          <t>IT-C0</t>
        </is>
      </c>
      <c r="B8" s="4" t="inlineStr">
        <is>
          <t>기본 절단기</t>
        </is>
      </c>
      <c r="C8" s="7" t="inlineStr">
        <is>
          <t>도구</t>
        </is>
      </c>
      <c r="D8" s="14" t="n">
        <v>0</v>
      </c>
      <c r="E8" s="4" t="inlineStr">
        <is>
          <t>장비(지급)</t>
        </is>
      </c>
      <c r="F8" s="4" t="inlineStr">
        <is>
          <t>칸막이/내력 세그먼트 절단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inlineStr">
        <is>
          <t>-</t>
        </is>
      </c>
    </row>
    <row r="9">
      <c r="A9" s="7" t="inlineStr">
        <is>
          <t>IT-C1</t>
        </is>
      </c>
      <c r="B9" s="4" t="inlineStr">
        <is>
          <t>고속 절단기</t>
        </is>
      </c>
      <c r="C9" s="7" t="inlineStr">
        <is>
          <t>도구</t>
        </is>
      </c>
      <c r="D9" s="14" t="n">
        <v>700</v>
      </c>
      <c r="E9" s="4" t="inlineStr">
        <is>
          <t>장비</t>
        </is>
      </c>
      <c r="F9" s="4" t="inlineStr">
        <is>
          <t>절단 시간 -35%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inlineStr">
        <is>
          <t>호감≥+1</t>
        </is>
      </c>
    </row>
    <row r="10">
      <c r="A10" s="7" t="inlineStr">
        <is>
          <t>IT-S0</t>
        </is>
      </c>
      <c r="B10" s="4" t="inlineStr">
        <is>
          <t>기본 스캐너</t>
        </is>
      </c>
      <c r="C10" s="7" t="inlineStr">
        <is>
          <t>도구</t>
        </is>
      </c>
      <c r="D10" s="14" t="n">
        <v>0</v>
      </c>
      <c r="E10" s="4" t="inlineStr">
        <is>
          <t>장비(지급)</t>
        </is>
      </c>
      <c r="F10" s="4" t="inlineStr">
        <is>
          <t>비내력/내력/베이 + 전선·수도관 윤곽 표시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4" t="inlineStr">
        <is>
          <t>-</t>
        </is>
      </c>
    </row>
    <row r="11">
      <c r="A11" s="7" t="inlineStr">
        <is>
          <t>IT-S1</t>
        </is>
      </c>
      <c r="B11" s="4" t="inlineStr">
        <is>
          <t>정밀 스캐너</t>
        </is>
      </c>
      <c r="C11" s="7" t="inlineStr">
        <is>
          <t>도구</t>
        </is>
      </c>
      <c r="D11" s="14" t="n">
        <v>550</v>
      </c>
      <c r="E11" s="4" t="inlineStr">
        <is>
          <t>장비</t>
        </is>
      </c>
      <c r="F11" s="4" t="inlineStr">
        <is>
          <t>지지 필요·유틸 경로 강조 + 절단 조준 경고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inlineStr">
        <is>
          <t>상점 상시</t>
        </is>
      </c>
    </row>
    <row r="12">
      <c r="A12" s="7" t="inlineStr">
        <is>
          <t>IT-P1</t>
        </is>
      </c>
      <c r="B12" s="4" t="inlineStr">
        <is>
          <t>임시 지지대</t>
        </is>
      </c>
      <c r="C12" s="7" t="inlineStr">
        <is>
          <t>안전</t>
        </is>
      </c>
      <c r="D12" s="14" t="n">
        <v>90</v>
      </c>
      <c r="E12" s="4" t="inlineStr">
        <is>
          <t>소모(설치)</t>
        </is>
      </c>
      <c r="F12" s="4" t="inlineStr">
        <is>
          <t>내력 절단을 '지지 있음' 상태로. 안전 카테고리 유일 품목</t>
        </is>
      </c>
      <c r="G12" s="7" t="inlineStr">
        <is>
          <t>-</t>
        </is>
      </c>
      <c r="H12" s="7" t="inlineStr">
        <is>
          <t>설치당 1개</t>
        </is>
      </c>
      <c r="I12" s="7" t="inlineStr">
        <is>
          <t>-</t>
        </is>
      </c>
      <c r="J12" s="4" t="inlineStr">
        <is>
          <t>상점 상시</t>
        </is>
      </c>
    </row>
    <row r="13">
      <c r="A13" s="7" t="inlineStr">
        <is>
          <t>IT-T1</t>
        </is>
      </c>
      <c r="B13" s="4" t="inlineStr">
        <is>
          <t>절연테이프</t>
        </is>
      </c>
      <c r="C13" s="7" t="inlineStr">
        <is>
          <t>유틸 수리</t>
        </is>
      </c>
      <c r="D13" s="14" t="n">
        <v>45</v>
      </c>
      <c r="E13" s="4" t="inlineStr">
        <is>
          <t>소모(1회용)</t>
        </is>
      </c>
      <c r="F13" s="4" t="inlineStr">
        <is>
          <t>잘린 전선 수리 → 섹터 조명 복구</t>
        </is>
      </c>
      <c r="G13" s="7" t="inlineStr">
        <is>
          <t>-</t>
        </is>
      </c>
      <c r="H13" s="7" t="inlineStr">
        <is>
          <t>전선 노드 1곳/개</t>
        </is>
      </c>
      <c r="I13" s="7" t="inlineStr">
        <is>
          <t>-</t>
        </is>
      </c>
      <c r="J13" s="4" t="inlineStr">
        <is>
          <t>상점 상시</t>
        </is>
      </c>
    </row>
    <row r="14">
      <c r="A14" s="7" t="inlineStr">
        <is>
          <t>IT-FG0</t>
        </is>
      </c>
      <c r="B14" s="4" t="inlineStr">
        <is>
          <t>폼건</t>
        </is>
      </c>
      <c r="C14" s="7" t="inlineStr">
        <is>
          <t>유틸 수리</t>
        </is>
      </c>
      <c r="D14" s="14" t="n">
        <v>380</v>
      </c>
      <c r="E14" s="4" t="inlineStr">
        <is>
          <t>장비</t>
        </is>
      </c>
      <c r="F14" s="4" t="inlineStr">
        <is>
          <t>발사로 터진 수도관 밀봉</t>
        </is>
      </c>
      <c r="G14" s="7" t="n">
        <v>4</v>
      </c>
      <c r="H14" s="7" t="inlineStr">
        <is>
          <t>사용 4회, 이후 수리 필요</t>
        </is>
      </c>
      <c r="I14" s="7" t="inlineStr">
        <is>
          <t>-</t>
        </is>
      </c>
      <c r="J14" s="4" t="inlineStr">
        <is>
          <t>상점 상시</t>
        </is>
      </c>
    </row>
    <row r="15">
      <c r="A15" s="7" t="inlineStr">
        <is>
          <t>IT-FG1</t>
        </is>
      </c>
      <c r="B15" s="4" t="inlineStr">
        <is>
          <t>폼 카트리지</t>
        </is>
      </c>
      <c r="C15" s="7" t="inlineStr">
        <is>
          <t>유틸 수리</t>
        </is>
      </c>
      <c r="D15" s="14" t="n">
        <v>55</v>
      </c>
      <c r="E15" s="4" t="inlineStr">
        <is>
          <t>소모</t>
        </is>
      </c>
      <c r="F15" s="4" t="inlineStr">
        <is>
          <t>폼건 장전용, 1회 사격=1개 소모</t>
        </is>
      </c>
      <c r="G15" s="7" t="inlineStr">
        <is>
          <t>-</t>
        </is>
      </c>
      <c r="H15" s="7" t="inlineStr">
        <is>
          <t>1회 사격/개</t>
        </is>
      </c>
      <c r="I15" s="7" t="inlineStr">
        <is>
          <t>-</t>
        </is>
      </c>
      <c r="J15" s="4" t="inlineStr">
        <is>
          <t>IT-FG0 보유</t>
        </is>
      </c>
    </row>
    <row r="16">
      <c r="A16" s="7" t="inlineStr">
        <is>
          <t>IT-O1</t>
        </is>
      </c>
      <c r="B16" s="4" t="inlineStr">
        <is>
          <t>산소 캔</t>
        </is>
      </c>
      <c r="C16" s="7" t="inlineStr">
        <is>
          <t>생존</t>
        </is>
      </c>
      <c r="D16" s="14" t="n">
        <v>40</v>
      </c>
      <c r="E16" s="4" t="inlineStr">
        <is>
          <t>소모</t>
        </is>
      </c>
      <c r="F16" s="4" t="inlineStr">
        <is>
          <t>활동 시간 +90초</t>
        </is>
      </c>
      <c r="G16" s="7" t="inlineStr">
        <is>
          <t>-</t>
        </is>
      </c>
      <c r="H16" s="7" t="inlineStr">
        <is>
          <t>1개=90초</t>
        </is>
      </c>
      <c r="I16" s="15">
        <f>ROUND(D16/90,3)</f>
        <v/>
      </c>
      <c r="J16" s="4" t="inlineStr">
        <is>
          <t>상점 상시</t>
        </is>
      </c>
    </row>
    <row r="17">
      <c r="A17" s="7" t="inlineStr">
        <is>
          <t>IT-O2</t>
        </is>
      </c>
      <c r="B17" s="4" t="inlineStr">
        <is>
          <t>산소 확장 탱크</t>
        </is>
      </c>
      <c r="C17" s="7" t="inlineStr">
        <is>
          <t>생존</t>
        </is>
      </c>
      <c r="D17" s="14" t="n">
        <v>320</v>
      </c>
      <c r="E17" s="4" t="inlineStr">
        <is>
          <t>장비</t>
        </is>
      </c>
      <c r="F17" s="4" t="inlineStr">
        <is>
          <t>기본 산소 +40%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inlineStr">
        <is>
          <t>상점 상시</t>
        </is>
      </c>
    </row>
    <row r="18">
      <c r="A18" s="7" t="inlineStr">
        <is>
          <t>IT-G1</t>
        </is>
      </c>
      <c r="B18" s="4" t="inlineStr">
        <is>
          <t>샘플 완충 패드</t>
        </is>
      </c>
      <c r="C18" s="7" t="inlineStr">
        <is>
          <t>회수</t>
        </is>
      </c>
      <c r="D18" s="14" t="n">
        <v>120</v>
      </c>
      <c r="E18" s="4" t="inlineStr">
        <is>
          <t>소모(3회)</t>
        </is>
      </c>
      <c r="F18" s="4" t="inlineStr">
        <is>
          <t>손 운반 충돌 손상 1회 무효</t>
        </is>
      </c>
      <c r="G18" s="7" t="n">
        <v>3</v>
      </c>
      <c r="H18" s="7" t="inlineStr">
        <is>
          <t>3회 사용</t>
        </is>
      </c>
      <c r="I18" s="16">
        <f>ROUND(D18/G18,2)</f>
        <v/>
      </c>
      <c r="J18" s="4" t="inlineStr">
        <is>
          <t>상점 상시</t>
        </is>
      </c>
    </row>
    <row r="19">
      <c r="A19" s="7" t="inlineStr">
        <is>
          <t>IT-B0</t>
        </is>
      </c>
      <c r="B19" s="4" t="inlineStr">
        <is>
          <t>임시 쓰레기통</t>
        </is>
      </c>
      <c r="C19" s="7" t="inlineStr">
        <is>
          <t>비매품</t>
        </is>
      </c>
      <c r="D19" s="14" t="n">
        <v>0</v>
      </c>
      <c r="E19" s="4" t="inlineStr">
        <is>
          <t>장비(무한보급)</t>
        </is>
      </c>
      <c r="F19" s="4" t="inlineStr">
        <is>
          <t>물리 운반, 슬롯 12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inlineStr">
        <is>
          <t>폐기물 대기장 전용, 상점 미판매</t>
        </is>
      </c>
    </row>
    <row r="21">
      <c r="A21" s="5" t="inlineStr">
        <is>
          <t>'회당·초당 단가'는 가격 ÷ 소모량 수식으로 자동 계산됨 (가격이 바뀌면 자동 갱신). 폼건 내구 소진(4회)까지 카트리지 총비용은 아래 참고.</t>
        </is>
      </c>
    </row>
    <row r="22">
      <c r="A22" s="9" t="inlineStr">
        <is>
          <t>참고 계산</t>
        </is>
      </c>
      <c r="B22" s="9" t="inlineStr">
        <is>
          <t>값</t>
        </is>
      </c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</row>
    <row r="23">
      <c r="A23" s="4" t="inlineStr">
        <is>
          <t>폼건 내구 소진(4회)까지 카트리지 총비용(₡)</t>
        </is>
      </c>
      <c r="B23" s="11">
        <f>D15*G14</f>
        <v/>
      </c>
    </row>
    <row r="24">
      <c r="A24" s="5" t="inlineStr">
        <is>
          <t>폼건 수리비(상점): 120₡ (08 §4.2). 새 폼건 구매 대안: 380₡.</t>
        </is>
      </c>
    </row>
  </sheetData>
  <mergeCells count="3">
    <mergeCell ref="A1:J1"/>
    <mergeCell ref="A24:J24"/>
    <mergeCell ref="A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22" customWidth="1" min="4" max="4"/>
    <col width="34" customWidth="1" min="5" max="5"/>
  </cols>
  <sheetData>
    <row r="1" ht="22" customHeight="1">
      <c r="A1" s="1" t="inlineStr">
        <is>
          <t>평가 점수 (05 수치 기획)</t>
        </is>
      </c>
    </row>
    <row r="3">
      <c r="A3" s="5" t="inlineStr">
        <is>
          <t>돈(착수금·상점·이자)과는 별개 트랙. Day2/3/4 현장 점검의 유일한 판정 기준.</t>
        </is>
      </c>
    </row>
    <row r="5">
      <c r="A5" s="9" t="inlineStr">
        <is>
          <t>가산 (+)</t>
        </is>
      </c>
      <c r="B5" s="9" t="n"/>
      <c r="C5" s="9" t="n"/>
      <c r="D5" s="9" t="n"/>
      <c r="E5" s="9" t="n"/>
    </row>
    <row r="6">
      <c r="A6" s="3" t="inlineStr">
        <is>
          <t>ID</t>
        </is>
      </c>
      <c r="B6" s="3" t="inlineStr">
        <is>
          <t>요소</t>
        </is>
      </c>
      <c r="C6" s="3" t="inlineStr">
        <is>
          <t>점수</t>
        </is>
      </c>
      <c r="D6" s="3" t="inlineStr">
        <is>
          <t>발생 시점</t>
        </is>
      </c>
      <c r="E6" s="3" t="inlineStr">
        <is>
          <t>비고</t>
        </is>
      </c>
    </row>
    <row r="7">
      <c r="A7" s="17" t="inlineStr">
        <is>
          <t>S+01</t>
        </is>
      </c>
      <c r="B7" s="18" t="inlineStr">
        <is>
          <t>금속 정분류</t>
        </is>
      </c>
      <c r="C7" s="19" t="n">
        <v>20</v>
      </c>
      <c r="D7" s="18" t="inlineStr">
        <is>
          <t>모선 투입</t>
        </is>
      </c>
      <c r="E7" s="18" t="inlineStr">
        <is>
          <t>캔·공구·전선 /개</t>
        </is>
      </c>
    </row>
    <row r="8">
      <c r="A8" s="17" t="inlineStr">
        <is>
          <t>S+02</t>
        </is>
      </c>
      <c r="B8" s="18" t="inlineStr">
        <is>
          <t>일반쓰레기 정분류</t>
        </is>
      </c>
      <c r="C8" s="19" t="n">
        <v>12</v>
      </c>
      <c r="D8" s="18" t="inlineStr">
        <is>
          <t>모선 투입</t>
        </is>
      </c>
      <c r="E8" s="18" t="inlineStr">
        <is>
          <t>작업복·서류·장갑 /개</t>
        </is>
      </c>
    </row>
    <row r="9">
      <c r="A9" s="17" t="inlineStr">
        <is>
          <t>S+03</t>
        </is>
      </c>
      <c r="B9" s="18" t="inlineStr">
        <is>
          <t>플라스틱 정분류</t>
        </is>
      </c>
      <c r="C9" s="19" t="n">
        <v>16</v>
      </c>
      <c r="D9" s="18" t="inlineStr">
        <is>
          <t>모선 투입</t>
        </is>
      </c>
      <c r="E9" s="18" t="inlineStr">
        <is>
          <t>비닐·용기 /개</t>
        </is>
      </c>
    </row>
    <row r="10">
      <c r="A10" s="17" t="inlineStr">
        <is>
          <t>S+04</t>
        </is>
      </c>
      <c r="B10" s="18" t="inlineStr">
        <is>
          <t>오염된 쓰레기 정분류</t>
        </is>
      </c>
      <c r="C10" s="19" t="n">
        <v>32</v>
      </c>
      <c r="D10" s="18" t="inlineStr">
        <is>
          <t>모선 투입</t>
        </is>
      </c>
      <c r="E10" s="18" t="inlineStr">
        <is>
          <t>오염물·따개비·오염조각·폐전지 /개</t>
        </is>
      </c>
    </row>
    <row r="11">
      <c r="A11" s="17" t="inlineStr">
        <is>
          <t>S+05</t>
        </is>
      </c>
      <c r="B11" s="18" t="inlineStr">
        <is>
          <t>안타는 쓰레기 정분류</t>
        </is>
      </c>
      <c r="C11" s="19" t="n">
        <v>16</v>
      </c>
      <c r="D11" s="18" t="inlineStr">
        <is>
          <t>모선 투입</t>
        </is>
      </c>
      <c r="E11" s="18" t="inlineStr">
        <is>
          <t>깨끗 조각벽·유리 /개</t>
        </is>
      </c>
    </row>
    <row r="12">
      <c r="A12" s="17" t="inlineStr">
        <is>
          <t>S+06</t>
        </is>
      </c>
      <c r="B12" s="18" t="inlineStr">
        <is>
          <t>폐공구 보너스</t>
        </is>
      </c>
      <c r="C12" s="19" t="n">
        <v>5</v>
      </c>
      <c r="D12" s="18" t="inlineStr">
        <is>
          <t>금속 정분류 시</t>
        </is>
      </c>
      <c r="E12" s="18" t="inlineStr">
        <is>
          <t>금속 정분류(+20)와 합산 시 +25</t>
        </is>
      </c>
    </row>
    <row r="13">
      <c r="A13" s="17" t="inlineStr">
        <is>
          <t>S+07</t>
        </is>
      </c>
      <c r="B13" s="18" t="inlineStr">
        <is>
          <t>작업복 보너스</t>
        </is>
      </c>
      <c r="C13" s="19" t="n">
        <v>4</v>
      </c>
      <c r="D13" s="18" t="inlineStr">
        <is>
          <t>일반 정분류 시</t>
        </is>
      </c>
      <c r="E13" s="18" t="inlineStr">
        <is>
          <t>일반 정분류(+12)와 합산 시 +16</t>
        </is>
      </c>
    </row>
    <row r="14">
      <c r="A14" s="17" t="inlineStr">
        <is>
          <t>S+08</t>
        </is>
      </c>
      <c r="B14" s="18" t="inlineStr">
        <is>
          <t>유리 보너스</t>
        </is>
      </c>
      <c r="C14" s="19" t="n">
        <v>4</v>
      </c>
      <c r="D14" s="18" t="inlineStr">
        <is>
          <t>안탐 정분류 시</t>
        </is>
      </c>
      <c r="E14" s="18" t="inlineStr">
        <is>
          <t>안탐 정분류(+16)와 합산 시 +20</t>
        </is>
      </c>
    </row>
    <row r="15">
      <c r="A15" s="17" t="inlineStr">
        <is>
          <t>S+09</t>
        </is>
      </c>
      <c r="B15" s="18" t="inlineStr">
        <is>
          <t>폐전지 보너스</t>
        </is>
      </c>
      <c r="C15" s="19" t="n">
        <v>8</v>
      </c>
      <c r="D15" s="18" t="inlineStr">
        <is>
          <t>오염 정분류 시</t>
        </is>
      </c>
      <c r="E15" s="18" t="inlineStr">
        <is>
          <t>오염 정분류(+32)와 합산 시 +40</t>
        </is>
      </c>
    </row>
    <row r="16">
      <c r="A16" s="17" t="inlineStr">
        <is>
          <t>S+10</t>
        </is>
      </c>
      <c r="B16" s="18" t="inlineStr">
        <is>
          <t>칸막이벽 철거 성공</t>
        </is>
      </c>
      <c r="C16" s="19" t="n">
        <v>15</v>
      </c>
      <c r="D16" s="18" t="inlineStr">
        <is>
          <t>절단 완료 시</t>
        </is>
      </c>
      <c r="E16" s="18" t="inlineStr">
        <is>
          <t>세그먼트당, 조각 점수와 별도</t>
        </is>
      </c>
    </row>
    <row r="17">
      <c r="A17" s="17" t="inlineStr">
        <is>
          <t>S+11</t>
        </is>
      </c>
      <c r="B17" s="18" t="inlineStr">
        <is>
          <t>내력벽 철거 성공(지지대 설치)</t>
        </is>
      </c>
      <c r="C17" s="19" t="n">
        <v>30</v>
      </c>
      <c r="D17" s="18" t="inlineStr">
        <is>
          <t>절단 완료 시</t>
        </is>
      </c>
      <c r="E17" s="18" t="inlineStr">
        <is>
          <t>세그먼트당. 지지 없으면 붕괴로 전환, 이 점수 없음</t>
        </is>
      </c>
    </row>
    <row r="18">
      <c r="A18" s="17" t="inlineStr">
        <is>
          <t>S+12a</t>
        </is>
      </c>
      <c r="B18" s="18" t="inlineStr">
        <is>
          <t>샘플 Intact - C</t>
        </is>
      </c>
      <c r="C18" s="19" t="n">
        <v>70</v>
      </c>
      <c r="D18" s="18" t="inlineStr">
        <is>
          <t>모선 납품</t>
        </is>
      </c>
      <c r="E18" s="18" t="inlineStr">
        <is>
          <t>05 §2.2</t>
        </is>
      </c>
    </row>
    <row r="19">
      <c r="A19" s="17" t="inlineStr">
        <is>
          <t>S+12b</t>
        </is>
      </c>
      <c r="B19" s="18" t="inlineStr">
        <is>
          <t>샘플 Intact - B</t>
        </is>
      </c>
      <c r="C19" s="19" t="n">
        <v>140</v>
      </c>
      <c r="D19" s="18" t="inlineStr">
        <is>
          <t>모선 납품</t>
        </is>
      </c>
      <c r="E19" s="18" t="inlineStr">
        <is>
          <t>05 §2.2</t>
        </is>
      </c>
    </row>
    <row r="20">
      <c r="A20" s="17" t="inlineStr">
        <is>
          <t>S+12c</t>
        </is>
      </c>
      <c r="B20" s="18" t="inlineStr">
        <is>
          <t>샘플 Intact - A</t>
        </is>
      </c>
      <c r="C20" s="19" t="n">
        <v>220</v>
      </c>
      <c r="D20" s="18" t="inlineStr">
        <is>
          <t>모선 납품</t>
        </is>
      </c>
      <c r="E20" s="18" t="inlineStr">
        <is>
          <t>05 §2.2</t>
        </is>
      </c>
    </row>
    <row r="21">
      <c r="A21" s="17" t="inlineStr">
        <is>
          <t>S+12d</t>
        </is>
      </c>
      <c r="B21" s="18" t="inlineStr">
        <is>
          <t>샘플 Intact - S</t>
        </is>
      </c>
      <c r="C21" s="19" t="n">
        <v>360</v>
      </c>
      <c r="D21" s="18" t="inlineStr">
        <is>
          <t>모선 납품</t>
        </is>
      </c>
      <c r="E21" s="18" t="inlineStr">
        <is>
          <t>05 §2.2</t>
        </is>
      </c>
    </row>
    <row r="22">
      <c r="A22" s="17" t="inlineStr">
        <is>
          <t>S+13a</t>
        </is>
      </c>
      <c r="B22" s="18" t="inlineStr">
        <is>
          <t>샘플 손상 회수 - C</t>
        </is>
      </c>
      <c r="C22" s="19" t="n">
        <v>28</v>
      </c>
      <c r="D22" s="18" t="inlineStr">
        <is>
          <t>모선 납품</t>
        </is>
      </c>
      <c r="E22" s="18" t="inlineStr">
        <is>
          <t>Intact의 40%</t>
        </is>
      </c>
    </row>
    <row r="23">
      <c r="A23" s="17" t="inlineStr">
        <is>
          <t>S+13b</t>
        </is>
      </c>
      <c r="B23" s="18" t="inlineStr">
        <is>
          <t>샘플 손상 회수 - B</t>
        </is>
      </c>
      <c r="C23" s="19" t="n">
        <v>56</v>
      </c>
      <c r="D23" s="18" t="inlineStr">
        <is>
          <t>모선 납품</t>
        </is>
      </c>
      <c r="E23" s="18" t="inlineStr">
        <is>
          <t>Intact의 40%</t>
        </is>
      </c>
    </row>
    <row r="24">
      <c r="A24" s="17" t="inlineStr">
        <is>
          <t>S+13c</t>
        </is>
      </c>
      <c r="B24" s="18" t="inlineStr">
        <is>
          <t>샘플 손상 회수 - A</t>
        </is>
      </c>
      <c r="C24" s="19" t="n">
        <v>88</v>
      </c>
      <c r="D24" s="18" t="inlineStr">
        <is>
          <t>모선 납품</t>
        </is>
      </c>
      <c r="E24" s="18" t="inlineStr">
        <is>
          <t>Intact의 40%</t>
        </is>
      </c>
    </row>
    <row r="25">
      <c r="A25" s="17" t="inlineStr">
        <is>
          <t>S+13d</t>
        </is>
      </c>
      <c r="B25" s="18" t="inlineStr">
        <is>
          <t>샘플 손상 회수 - S</t>
        </is>
      </c>
      <c r="C25" s="19" t="n">
        <v>144</v>
      </c>
      <c r="D25" s="18" t="inlineStr">
        <is>
          <t>모선 납품</t>
        </is>
      </c>
      <c r="E25" s="18" t="inlineStr">
        <is>
          <t>Intact의 40%</t>
        </is>
      </c>
    </row>
    <row r="26">
      <c r="A26" s="17" t="inlineStr">
        <is>
          <t>S+14</t>
        </is>
      </c>
      <c r="B26" s="18" t="inlineStr">
        <is>
          <t>구역 마감</t>
        </is>
      </c>
      <c r="C26" s="19" t="n">
        <v>40</v>
      </c>
      <c r="D26" s="18" t="inlineStr">
        <is>
          <t>마감 제출 시</t>
        </is>
      </c>
      <c r="E26" s="18" t="inlineStr">
        <is>
          <t>섹터당</t>
        </is>
      </c>
    </row>
    <row r="27">
      <c r="A27" s="17" t="inlineStr">
        <is>
          <t>S+15</t>
        </is>
      </c>
      <c r="B27" s="18" t="inlineStr">
        <is>
          <t>상인 퀘스트 성공</t>
        </is>
      </c>
      <c r="C27" s="19" t="n">
        <v>80</v>
      </c>
      <c r="D27" s="18" t="inlineStr">
        <is>
          <t>정산</t>
        </is>
      </c>
      <c r="E27" s="18" t="inlineStr">
        <is>
          <t>S급 퀘스트는 +160, Intact 조건</t>
        </is>
      </c>
    </row>
    <row r="28">
      <c r="A28" s="17" t="inlineStr">
        <is>
          <t>S+16</t>
        </is>
      </c>
      <c r="B28" s="18" t="inlineStr">
        <is>
          <t>전원 18:00 전 복귀</t>
        </is>
      </c>
      <c r="C28" s="19" t="n">
        <v>25</v>
      </c>
      <c r="D28" s="18" t="inlineStr">
        <is>
          <t>일 종료</t>
        </is>
      </c>
      <c r="E28" s="18" t="inlineStr">
        <is>
          <t>1명이라도 미복귀면 0</t>
        </is>
      </c>
    </row>
    <row r="30">
      <c r="A30" s="9" t="inlineStr">
        <is>
          <t>차감 (-)</t>
        </is>
      </c>
      <c r="B30" s="9" t="n"/>
      <c r="C30" s="9" t="n"/>
      <c r="D30" s="9" t="n"/>
      <c r="E30" s="9" t="n"/>
    </row>
    <row r="31">
      <c r="A31" s="3" t="inlineStr">
        <is>
          <t>ID</t>
        </is>
      </c>
      <c r="B31" s="3" t="inlineStr">
        <is>
          <t>요소</t>
        </is>
      </c>
      <c r="C31" s="3" t="inlineStr">
        <is>
          <t>점수</t>
        </is>
      </c>
      <c r="D31" s="3" t="inlineStr">
        <is>
          <t>발생 시점</t>
        </is>
      </c>
      <c r="E31" s="3" t="inlineStr">
        <is>
          <t>비고</t>
        </is>
      </c>
    </row>
    <row r="32">
      <c r="A32" s="20" t="inlineStr">
        <is>
          <t>S-01</t>
        </is>
      </c>
      <c r="B32" s="21" t="inlineStr">
        <is>
          <t>오분류</t>
        </is>
      </c>
      <c r="C32" s="22" t="n">
        <v>-12</v>
      </c>
      <c r="D32" s="21" t="inlineStr">
        <is>
          <t>잘못된 칸 투입</t>
        </is>
      </c>
      <c r="E32" s="21" t="inlineStr">
        <is>
          <t>정분류 점수 미지급</t>
        </is>
      </c>
    </row>
    <row r="33">
      <c r="A33" s="20" t="inlineStr">
        <is>
          <t>S-02</t>
        </is>
      </c>
      <c r="B33" s="21" t="inlineStr">
        <is>
          <t>오염계 오분류</t>
        </is>
      </c>
      <c r="C33" s="22" t="n">
        <v>-24</v>
      </c>
      <c r="D33" s="21" t="inlineStr">
        <is>
          <t>오염물·따개비·오염조각을 비오염 칸에</t>
        </is>
      </c>
      <c r="E33" s="21" t="inlineStr">
        <is>
          <t>-12-12</t>
        </is>
      </c>
    </row>
    <row r="34">
      <c r="A34" s="20" t="inlineStr">
        <is>
          <t>S-03</t>
        </is>
      </c>
      <c r="B34" s="21" t="inlineStr">
        <is>
          <t>모선 미분류 잔여</t>
        </is>
      </c>
      <c r="C34" s="22" t="n">
        <v>-6</v>
      </c>
      <c r="D34" s="21" t="inlineStr">
        <is>
          <t>18:00 정산</t>
        </is>
      </c>
      <c r="E34" s="21" t="inlineStr">
        <is>
          <t>분류대·쓰레기통에 남김, /개</t>
        </is>
      </c>
    </row>
    <row r="35">
      <c r="A35" s="20" t="inlineStr">
        <is>
          <t>S-04</t>
        </is>
      </c>
      <c r="B35" s="21" t="inlineStr">
        <is>
          <t>현장 미수거</t>
        </is>
      </c>
      <c r="C35" s="22" t="n">
        <v>-6</v>
      </c>
      <c r="D35" s="21" t="inlineStr">
        <is>
          <t>18:00 정산</t>
        </is>
      </c>
      <c r="E35" s="21" t="inlineStr">
        <is>
          <t>월드에 남은 분리 대상, /개</t>
        </is>
      </c>
    </row>
    <row r="36">
      <c r="A36" s="20" t="inlineStr">
        <is>
          <t>S-05a</t>
        </is>
      </c>
      <c r="B36" s="21" t="inlineStr">
        <is>
          <t>샘플 미회수 - C</t>
        </is>
      </c>
      <c r="C36" s="22" t="n">
        <v>-20</v>
      </c>
      <c r="D36" s="21" t="inlineStr">
        <is>
          <t>18:00(맵에 남김)</t>
        </is>
      </c>
      <c r="E36" s="21" t="inlineStr">
        <is>
          <t>다음날 재시도 가능</t>
        </is>
      </c>
    </row>
    <row r="37">
      <c r="A37" s="20" t="inlineStr">
        <is>
          <t>S-05b</t>
        </is>
      </c>
      <c r="B37" s="21" t="inlineStr">
        <is>
          <t>샘플 미회수 - B</t>
        </is>
      </c>
      <c r="C37" s="22" t="n">
        <v>-35</v>
      </c>
      <c r="D37" s="21" t="inlineStr">
        <is>
          <t>18:00(맵에 남김)</t>
        </is>
      </c>
      <c r="E37" s="21" t="inlineStr">
        <is>
          <t>다음날 재시도 가능</t>
        </is>
      </c>
    </row>
    <row r="38">
      <c r="A38" s="20" t="inlineStr">
        <is>
          <t>S-05c</t>
        </is>
      </c>
      <c r="B38" s="21" t="inlineStr">
        <is>
          <t>샘플 미회수 - A</t>
        </is>
      </c>
      <c r="C38" s="22" t="n">
        <v>-55</v>
      </c>
      <c r="D38" s="21" t="inlineStr">
        <is>
          <t>18:00(맵에 남김)</t>
        </is>
      </c>
      <c r="E38" s="21" t="inlineStr">
        <is>
          <t>다음날 재시도 가능</t>
        </is>
      </c>
    </row>
    <row r="39">
      <c r="A39" s="20" t="inlineStr">
        <is>
          <t>S-05d</t>
        </is>
      </c>
      <c r="B39" s="21" t="inlineStr">
        <is>
          <t>샘플 미회수 - S</t>
        </is>
      </c>
      <c r="C39" s="22" t="n">
        <v>-90</v>
      </c>
      <c r="D39" s="21" t="inlineStr">
        <is>
          <t>18:00(맵에 남김)</t>
        </is>
      </c>
      <c r="E39" s="21" t="inlineStr">
        <is>
          <t>다음날 재시도 가능</t>
        </is>
      </c>
    </row>
    <row r="40">
      <c r="A40" s="20" t="inlineStr">
        <is>
          <t>S-06a</t>
        </is>
      </c>
      <c r="B40" s="21" t="inlineStr">
        <is>
          <t>샘플 파괴 - C</t>
        </is>
      </c>
      <c r="C40" s="22" t="n">
        <v>-45</v>
      </c>
      <c r="D40" s="21" t="inlineStr">
        <is>
          <t>파괴 확정 시</t>
        </is>
      </c>
      <c r="E40" s="21" t="inlineStr">
        <is>
          <t>재시도 불가</t>
        </is>
      </c>
    </row>
    <row r="41">
      <c r="A41" s="20" t="inlineStr">
        <is>
          <t>S-06b</t>
        </is>
      </c>
      <c r="B41" s="21" t="inlineStr">
        <is>
          <t>샘플 파괴 - B</t>
        </is>
      </c>
      <c r="C41" s="22" t="n">
        <v>-85</v>
      </c>
      <c r="D41" s="21" t="inlineStr">
        <is>
          <t>파괴 확정 시</t>
        </is>
      </c>
      <c r="E41" s="21" t="inlineStr">
        <is>
          <t>재시도 불가</t>
        </is>
      </c>
    </row>
    <row r="42">
      <c r="A42" s="20" t="inlineStr">
        <is>
          <t>S-06c</t>
        </is>
      </c>
      <c r="B42" s="21" t="inlineStr">
        <is>
          <t>샘플 파괴 - A</t>
        </is>
      </c>
      <c r="C42" s="22" t="n">
        <v>-130</v>
      </c>
      <c r="D42" s="21" t="inlineStr">
        <is>
          <t>파괴 확정 시</t>
        </is>
      </c>
      <c r="E42" s="21" t="inlineStr">
        <is>
          <t>재시도 불가</t>
        </is>
      </c>
    </row>
    <row r="43">
      <c r="A43" s="20" t="inlineStr">
        <is>
          <t>S-06d</t>
        </is>
      </c>
      <c r="B43" s="21" t="inlineStr">
        <is>
          <t>샘플 파괴 - S</t>
        </is>
      </c>
      <c r="C43" s="22" t="n">
        <v>-220</v>
      </c>
      <c r="D43" s="21" t="inlineStr">
        <is>
          <t>파괴 확정 시</t>
        </is>
      </c>
      <c r="E43" s="21" t="inlineStr">
        <is>
          <t>재시도 불가</t>
        </is>
      </c>
    </row>
    <row r="44">
      <c r="A44" s="20" t="inlineStr">
        <is>
          <t>S-07</t>
        </is>
      </c>
      <c r="B44" s="21" t="inlineStr">
        <is>
          <t>내력 무지지 절단 → 천장 붕괴</t>
        </is>
      </c>
      <c r="C44" s="22" t="n">
        <v>-200</v>
      </c>
      <c r="D44" s="21" t="inlineStr">
        <is>
          <t>붕괴 시</t>
        </is>
      </c>
      <c r="E44" s="21" t="inlineStr">
        <is>
          <t>사고당. ≈ 벽 정분류 1회분</t>
        </is>
      </c>
    </row>
    <row r="45">
      <c r="A45" s="20" t="inlineStr">
        <is>
          <t>S-08</t>
        </is>
      </c>
      <c r="B45" s="21" t="inlineStr">
        <is>
          <t>지지대 있어도 붕괴</t>
        </is>
      </c>
      <c r="C45" s="22" t="n">
        <v>-120</v>
      </c>
      <c r="D45" s="21" t="inlineStr">
        <is>
          <t>붕괴 시</t>
        </is>
      </c>
      <c r="E45" s="21" t="inlineStr">
        <is>
          <t>사고당</t>
        </is>
      </c>
    </row>
    <row r="46">
      <c r="A46" s="20" t="inlineStr">
        <is>
          <t>S-09</t>
        </is>
      </c>
      <c r="B46" s="21" t="inlineStr">
        <is>
          <t>미복귀</t>
        </is>
      </c>
      <c r="C46" s="22" t="n">
        <v>-35</v>
      </c>
      <c r="D46" s="21" t="inlineStr">
        <is>
          <t>18:00</t>
        </is>
      </c>
      <c r="E46" s="21" t="inlineStr">
        <is>
          <t>인당</t>
        </is>
      </c>
    </row>
    <row r="47">
      <c r="A47" s="20" t="inlineStr">
        <is>
          <t>S-10</t>
        </is>
      </c>
      <c r="B47" s="21" t="inlineStr">
        <is>
          <t>사망(부활)</t>
        </is>
      </c>
      <c r="C47" s="22" t="n">
        <v>-30</v>
      </c>
      <c r="D47" s="21" t="inlineStr">
        <is>
          <t>부활 시</t>
        </is>
      </c>
      <c r="E47" s="21" t="inlineStr">
        <is>
          <t>회당</t>
        </is>
      </c>
    </row>
    <row r="48">
      <c r="A48" s="20" t="inlineStr">
        <is>
          <t>S-11</t>
        </is>
      </c>
      <c r="B48" s="21" t="inlineStr">
        <is>
          <t>점검 실패 → 경고</t>
        </is>
      </c>
      <c r="C48" s="22" t="n">
        <v>-40</v>
      </c>
      <c r="D48" s="21" t="inlineStr">
        <is>
          <t>Day2/3 실패 시</t>
        </is>
      </c>
      <c r="E48" s="21" t="inlineStr">
        <is>
          <t>+ 다음날 기준 ×1.1</t>
        </is>
      </c>
    </row>
    <row r="49">
      <c r="A49" s="20" t="inlineStr">
        <is>
          <t>S-12</t>
        </is>
      </c>
      <c r="B49" s="21" t="inlineStr">
        <is>
          <t>전선 절단(섹터 암전)</t>
        </is>
      </c>
      <c r="C49" s="22" t="n">
        <v>-25</v>
      </c>
      <c r="D49" s="21" t="inlineStr">
        <is>
          <t>절단 확정 시</t>
        </is>
      </c>
      <c r="E49" s="21" t="inlineStr">
        <is>
          <t>건당. 테이프 수리해도 점수 환급 없음</t>
        </is>
      </c>
    </row>
    <row r="50">
      <c r="A50" s="20" t="inlineStr">
        <is>
          <t>S-13</t>
        </is>
      </c>
      <c r="B50" s="21" t="inlineStr">
        <is>
          <t>수도관 파열</t>
        </is>
      </c>
      <c r="C50" s="22" t="n">
        <v>-20</v>
      </c>
      <c r="D50" s="21" t="inlineStr">
        <is>
          <t>파열 확정 시</t>
        </is>
      </c>
      <c r="E50" s="21" t="inlineStr">
        <is>
          <t>건당</t>
        </is>
      </c>
    </row>
    <row r="51">
      <c r="A51" s="20" t="inlineStr">
        <is>
          <t>S-14</t>
        </is>
      </c>
      <c r="B51" s="21" t="inlineStr">
        <is>
          <t>수도 미밀봉 오염 확산</t>
        </is>
      </c>
      <c r="C51" s="22" t="n">
        <v>-8</v>
      </c>
      <c r="D51" s="21" t="inlineStr">
        <is>
          <t>파열 유지 중</t>
        </is>
      </c>
      <c r="E51" s="21" t="inlineStr">
        <is>
          <t>/30초, 사고당 상한 -80(파열 -20 별도)</t>
        </is>
      </c>
    </row>
    <row r="53">
      <c r="A53" s="9" t="inlineStr">
        <is>
          <t>파생 묶음 (계산값)</t>
        </is>
      </c>
      <c r="B53" s="9" t="n"/>
      <c r="C53" s="9" t="n"/>
      <c r="D53" s="9" t="n"/>
      <c r="E53" s="9" t="n"/>
    </row>
    <row r="54">
      <c r="A54" s="3" t="inlineStr">
        <is>
          <t>항목</t>
        </is>
      </c>
      <c r="B54" s="3" t="inlineStr">
        <is>
          <t>계산식</t>
        </is>
      </c>
      <c r="C54" s="3" t="inlineStr">
        <is>
          <t>결과</t>
        </is>
      </c>
      <c r="D54" s="23" t="inlineStr"/>
      <c r="E54" s="23" t="inlineStr"/>
    </row>
    <row r="55">
      <c r="A55" s="4" t="inlineStr">
        <is>
          <t>벽 세그먼트 정분류 (제거율 70% 가정: 7개 안탐 + 3개 오염)</t>
        </is>
      </c>
      <c r="B55" s="24" t="inlineStr">
        <is>
          <t>7×안탐단가 + 3×오염단가 (S+05, S+04 참조)</t>
        </is>
      </c>
      <c r="C55" s="11">
        <f>7*C11+3*C10</f>
        <v/>
      </c>
      <c r="D55" s="4" t="inlineStr"/>
      <c r="E55" s="4" t="inlineStr"/>
    </row>
    <row r="56">
      <c r="A56" s="4" t="inlineStr">
        <is>
          <t>벽 세그먼트 풀세트 (칸막이) = 정분류 + 철거 성공</t>
        </is>
      </c>
      <c r="B56" s="24" t="inlineStr">
        <is>
          <t>정분류 결과 + 칸막이 철거 성공(S+10)</t>
        </is>
      </c>
      <c r="C56" s="11">
        <f>C55+C16</f>
        <v/>
      </c>
      <c r="D56" s="4" t="inlineStr"/>
      <c r="E56" s="4" t="inlineStr"/>
    </row>
    <row r="57">
      <c r="A57" s="4" t="inlineStr">
        <is>
          <t>벽 세그먼트 풀세트 (내력+지지) = 정분류 + 철거 성공</t>
        </is>
      </c>
      <c r="B57" s="24" t="inlineStr">
        <is>
          <t>정분류 결과 + 내력 철거 성공(S+11)</t>
        </is>
      </c>
      <c r="C57" s="11">
        <f>C55+C17</f>
        <v/>
      </c>
      <c r="D57" s="4" t="inlineStr"/>
      <c r="E57" s="4" t="inlineStr"/>
    </row>
    <row r="59">
      <c r="A59" s="9" t="inlineStr">
        <is>
          <t>점검 기준 (Day2/3/4)</t>
        </is>
      </c>
      <c r="B59" s="9" t="n"/>
      <c r="C59" s="9" t="n"/>
      <c r="D59" s="9" t="n"/>
      <c r="E59" s="9" t="n"/>
    </row>
    <row r="60">
      <c r="A60" s="3" t="inlineStr">
        <is>
          <t>구간</t>
        </is>
      </c>
      <c r="B60" s="3" t="inlineStr">
        <is>
          <t>누적 점수 기준</t>
        </is>
      </c>
      <c r="C60" s="3" t="inlineStr">
        <is>
          <t>경고 시(×1.1)</t>
        </is>
      </c>
      <c r="D60" s="23" t="inlineStr"/>
      <c r="E60" s="23" t="inlineStr"/>
    </row>
    <row r="61">
      <c r="A61" s="4" t="inlineStr">
        <is>
          <t>Day2</t>
        </is>
      </c>
      <c r="B61" s="11" t="n">
        <v>600</v>
      </c>
      <c r="C61" s="11">
        <f>ROUND(B61*1.1,0)</f>
        <v/>
      </c>
      <c r="D61" s="4" t="inlineStr"/>
      <c r="E61" s="4" t="inlineStr"/>
    </row>
    <row r="62">
      <c r="A62" s="4" t="inlineStr">
        <is>
          <t>Day3</t>
        </is>
      </c>
      <c r="B62" s="11" t="n">
        <v>1400</v>
      </c>
      <c r="C62" s="11">
        <f>ROUND(B62*1.1,0)</f>
        <v/>
      </c>
      <c r="D62" s="4" t="inlineStr"/>
      <c r="E62" s="4" t="inlineStr"/>
    </row>
    <row r="63">
      <c r="A63" s="4" t="inlineStr">
        <is>
          <t>Day4 비상</t>
        </is>
      </c>
      <c r="B63" s="11" t="n">
        <v>1600</v>
      </c>
      <c r="C63" s="11">
        <f>ROUND(B63*1.1,0)</f>
        <v/>
      </c>
      <c r="D63" s="4" t="inlineStr"/>
      <c r="E63" s="4" t="inlineStr"/>
    </row>
    <row r="65">
      <c r="A65" s="5" t="inlineStr">
        <is>
          <t>참고: 'Day2 경고 시' 값은 참조용 계산일 뿐 실제로 발생하지 않는 상태다 — 경고는 Day2/3 점검 실패 후에만 부여되므로 최초 점검인 Day2 자체에는 적용되지 않는다 (실제 적용 사례는 Day3→1540 / Day4→1760, 05 §2.4).</t>
        </is>
      </c>
    </row>
  </sheetData>
  <mergeCells count="3">
    <mergeCell ref="A1:E1"/>
    <mergeCell ref="A65:E6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6" customWidth="1" min="4" max="4"/>
    <col width="30" customWidth="1" min="5" max="5"/>
  </cols>
  <sheetData>
    <row r="1" ht="22" customHeight="1">
      <c r="A1" s="1" t="inlineStr">
        <is>
          <t>경제·크레딧 (07 경제 시스템)</t>
        </is>
      </c>
    </row>
    <row r="3">
      <c r="A3" s="5" t="inlineStr">
        <is>
          <t>평가 점수(05)와는 별트랙. 점검 통과는 절대 크레딧으로 대체 불가.</t>
        </is>
      </c>
    </row>
    <row r="5">
      <c r="A5" s="9" t="inlineStr">
        <is>
          <t>수입 (+)</t>
        </is>
      </c>
      <c r="B5" s="9" t="n"/>
      <c r="C5" s="9" t="n"/>
      <c r="D5" s="9" t="n"/>
      <c r="E5" s="9" t="n"/>
    </row>
    <row r="6">
      <c r="A6" s="3" t="inlineStr">
        <is>
          <t>ID</t>
        </is>
      </c>
      <c r="B6" s="3" t="inlineStr">
        <is>
          <t>요소</t>
        </is>
      </c>
      <c r="C6" s="3" t="inlineStr">
        <is>
          <t>금액</t>
        </is>
      </c>
      <c r="D6" s="3" t="inlineStr">
        <is>
          <t>시점</t>
        </is>
      </c>
      <c r="E6" s="3" t="inlineStr">
        <is>
          <t>비고</t>
        </is>
      </c>
    </row>
    <row r="7">
      <c r="A7" s="17" t="inlineStr">
        <is>
          <t>M+01</t>
        </is>
      </c>
      <c r="B7" s="18" t="inlineStr">
        <is>
          <t>일일 착수금</t>
        </is>
      </c>
      <c r="C7" s="18" t="inlineStr">
        <is>
          <t>난이도·경고별</t>
        </is>
      </c>
      <c r="D7" s="18" t="inlineStr">
        <is>
          <t>08:00 투입 전</t>
        </is>
      </c>
      <c r="E7" s="18" t="inlineStr">
        <is>
          <t>아래 착수금표 참고</t>
        </is>
      </c>
    </row>
    <row r="8">
      <c r="A8" s="17" t="inlineStr">
        <is>
          <t>M+02</t>
        </is>
      </c>
      <c r="B8" s="18" t="inlineStr">
        <is>
          <t>분리 환급</t>
        </is>
      </c>
      <c r="C8" s="18" t="inlineStr">
        <is>
          <t>정분류 품목별</t>
        </is>
      </c>
      <c r="D8" s="18" t="inlineStr">
        <is>
          <t>모선 정분류 시</t>
        </is>
      </c>
      <c r="E8" s="18" t="inlineStr">
        <is>
          <t>아래 환급표 참고</t>
        </is>
      </c>
    </row>
    <row r="9">
      <c r="A9" s="17" t="inlineStr">
        <is>
          <t>M+03</t>
        </is>
      </c>
      <c r="B9" s="18" t="inlineStr">
        <is>
          <t>퀘스트 보수</t>
        </is>
      </c>
      <c r="C9" s="18" t="inlineStr">
        <is>
          <t>퀘스트 종류별</t>
        </is>
      </c>
      <c r="D9" s="18" t="inlineStr">
        <is>
          <t>퀘스트 성공 정산</t>
        </is>
      </c>
      <c r="E9" s="18" t="inlineStr">
        <is>
          <t>아래 퀘스트표 참고</t>
        </is>
      </c>
    </row>
    <row r="10">
      <c r="A10" s="17" t="inlineStr">
        <is>
          <t>M+04</t>
        </is>
      </c>
      <c r="B10" s="18" t="inlineStr">
        <is>
          <t>평가 연동 보너스</t>
        </is>
      </c>
      <c r="C10" s="18" t="inlineStr">
        <is>
          <t>당일 평가 점수 × 1₡</t>
        </is>
      </c>
      <c r="D10" s="18" t="inlineStr">
        <is>
          <t>18:00 정산</t>
        </is>
      </c>
      <c r="E10" s="18" t="inlineStr">
        <is>
          <t>-</t>
        </is>
      </c>
    </row>
    <row r="11">
      <c r="A11" s="17" t="inlineStr">
        <is>
          <t>M+05</t>
        </is>
      </c>
      <c r="B11" s="18" t="inlineStr">
        <is>
          <t>대출 수령</t>
        </is>
      </c>
      <c r="C11" s="18" t="inlineStr">
        <is>
          <t>빌린 금액</t>
        </is>
      </c>
      <c r="D11" s="18" t="inlineStr">
        <is>
          <t>상인</t>
        </is>
      </c>
      <c r="E11" s="18" t="inlineStr">
        <is>
          <t>-</t>
        </is>
      </c>
    </row>
    <row r="13">
      <c r="A13" s="9" t="inlineStr">
        <is>
          <t>지출 (-)</t>
        </is>
      </c>
      <c r="B13" s="9" t="n"/>
      <c r="C13" s="9" t="n"/>
      <c r="D13" s="9" t="n"/>
      <c r="E13" s="9" t="n"/>
    </row>
    <row r="14">
      <c r="A14" s="3" t="inlineStr">
        <is>
          <t>ID</t>
        </is>
      </c>
      <c r="B14" s="3" t="inlineStr">
        <is>
          <t>요소</t>
        </is>
      </c>
      <c r="C14" s="3" t="inlineStr">
        <is>
          <t>금액</t>
        </is>
      </c>
      <c r="D14" s="3" t="inlineStr">
        <is>
          <t>시점</t>
        </is>
      </c>
      <c r="E14" s="3" t="inlineStr">
        <is>
          <t>비고</t>
        </is>
      </c>
    </row>
    <row r="15">
      <c r="A15" s="20" t="inlineStr">
        <is>
          <t>M-01</t>
        </is>
      </c>
      <c r="B15" s="21" t="inlineStr">
        <is>
          <t>장비·소모품 구매</t>
        </is>
      </c>
      <c r="C15" s="21" t="inlineStr">
        <is>
          <t>가격표</t>
        </is>
      </c>
      <c r="D15" s="21" t="inlineStr">
        <is>
          <t>상점</t>
        </is>
      </c>
      <c r="E15" s="21" t="inlineStr">
        <is>
          <t>-</t>
        </is>
      </c>
    </row>
    <row r="16">
      <c r="A16" s="20" t="inlineStr">
        <is>
          <t>M-03a</t>
        </is>
      </c>
      <c r="B16" s="21" t="inlineStr">
        <is>
          <t>붕괴 과태료(무지지)</t>
        </is>
      </c>
      <c r="C16" s="25" t="n">
        <v>-250</v>
      </c>
      <c r="D16" s="21" t="inlineStr">
        <is>
          <t>붕괴 시</t>
        </is>
      </c>
      <c r="E16" s="21" t="inlineStr">
        <is>
          <t>-</t>
        </is>
      </c>
    </row>
    <row r="17">
      <c r="A17" s="20" t="inlineStr">
        <is>
          <t>M-03b</t>
        </is>
      </c>
      <c r="B17" s="21" t="inlineStr">
        <is>
          <t>붕괴 과태료(지지있음)</t>
        </is>
      </c>
      <c r="C17" s="25" t="n">
        <v>-150</v>
      </c>
      <c r="D17" s="21" t="inlineStr">
        <is>
          <t>붕괴 시</t>
        </is>
      </c>
      <c r="E17" s="21" t="inlineStr">
        <is>
          <t>-</t>
        </is>
      </c>
    </row>
    <row r="18">
      <c r="A18" s="20" t="inlineStr">
        <is>
          <t>M-04</t>
        </is>
      </c>
      <c r="B18" s="21" t="inlineStr">
        <is>
          <t>미복귀 과태료</t>
        </is>
      </c>
      <c r="C18" s="25" t="n">
        <v>-40</v>
      </c>
      <c r="D18" s="21" t="inlineStr">
        <is>
          <t>18:00</t>
        </is>
      </c>
      <c r="E18" s="21" t="inlineStr">
        <is>
          <t>인당</t>
        </is>
      </c>
    </row>
    <row r="19">
      <c r="A19" s="20" t="inlineStr">
        <is>
          <t>M-05</t>
        </is>
      </c>
      <c r="B19" s="21" t="inlineStr">
        <is>
          <t>사망 처리비</t>
        </is>
      </c>
      <c r="C19" s="25" t="n">
        <v>-30</v>
      </c>
      <c r="D19" s="21" t="inlineStr">
        <is>
          <t>부활</t>
        </is>
      </c>
      <c r="E19" s="21" t="inlineStr">
        <is>
          <t>회당</t>
        </is>
      </c>
    </row>
    <row r="20">
      <c r="A20" s="20" t="inlineStr">
        <is>
          <t>M-06</t>
        </is>
      </c>
      <c r="B20" s="21" t="inlineStr">
        <is>
          <t>경고 착수금 삭감</t>
        </is>
      </c>
      <c r="C20" s="21" t="inlineStr">
        <is>
          <t>다음날 착수금 ×0.7</t>
        </is>
      </c>
      <c r="D20" s="21" t="inlineStr">
        <is>
          <t>Day2/3 실패 후</t>
        </is>
      </c>
      <c r="E20" s="21" t="inlineStr">
        <is>
          <t>-</t>
        </is>
      </c>
    </row>
    <row r="21">
      <c r="A21" s="20" t="inlineStr">
        <is>
          <t>M-07</t>
        </is>
      </c>
      <c r="B21" s="21" t="inlineStr">
        <is>
          <t>대출 이자</t>
        </is>
      </c>
      <c r="C21" s="21" t="inlineStr">
        <is>
          <t>원금 × 일 이자율(5%)</t>
        </is>
      </c>
      <c r="D21" s="21" t="inlineStr">
        <is>
          <t>일 정산</t>
        </is>
      </c>
      <c r="E21" s="21" t="inlineStr">
        <is>
          <t>-</t>
        </is>
      </c>
    </row>
    <row r="22">
      <c r="A22" s="20" t="inlineStr">
        <is>
          <t>M-08</t>
        </is>
      </c>
      <c r="B22" s="21" t="inlineStr">
        <is>
          <t>대출 상환</t>
        </is>
      </c>
      <c r="C22" s="21" t="inlineStr">
        <is>
          <t>임의/정산</t>
        </is>
      </c>
      <c r="D22" s="21" t="inlineStr">
        <is>
          <t>상인</t>
        </is>
      </c>
      <c r="E22" s="21" t="inlineStr">
        <is>
          <t>-</t>
        </is>
      </c>
    </row>
    <row r="23">
      <c r="A23" s="20" t="inlineStr">
        <is>
          <t>M-09</t>
        </is>
      </c>
      <c r="B23" s="21" t="inlineStr">
        <is>
          <t>부상 치료비</t>
        </is>
      </c>
      <c r="C23" s="25" t="n">
        <v>-70</v>
      </c>
      <c r="D23" s="21" t="inlineStr">
        <is>
          <t>모선에서 상인에게 지불 시</t>
        </is>
      </c>
      <c r="E23" s="21" t="inlineStr">
        <is>
          <t>부상→건강 유일한 회복 수단, 아이템 아님 (07 §2.5)</t>
        </is>
      </c>
    </row>
    <row r="24">
      <c r="A24" s="5" t="inlineStr">
        <is>
          <t>삭제(M-02): 퀘스트 실패·파괴 위약금. 퀘스트 실패는 크레딧 손실 없이 호감도만 하락한다.</t>
        </is>
      </c>
    </row>
    <row r="26">
      <c r="A26" s="9" t="inlineStr">
        <is>
          <t>난이도별 일일 착수금</t>
        </is>
      </c>
      <c r="B26" s="9" t="n"/>
      <c r="C26" s="9" t="n"/>
      <c r="D26" s="9" t="n"/>
      <c r="E26" s="9" t="n"/>
    </row>
    <row r="27">
      <c r="A27" s="3" t="inlineStr">
        <is>
          <t>난이도</t>
        </is>
      </c>
      <c r="B27" s="3" t="inlineStr">
        <is>
          <t>일 착수금(₡)</t>
        </is>
      </c>
      <c r="C27" s="3" t="inlineStr">
        <is>
          <t>3일 합(이론)</t>
        </is>
      </c>
      <c r="D27" s="3" t="inlineStr">
        <is>
          <t>의도</t>
        </is>
      </c>
      <c r="E27" s="23" t="inlineStr"/>
    </row>
    <row r="28">
      <c r="A28" s="4" t="inlineStr">
        <is>
          <t>안전</t>
        </is>
      </c>
      <c r="B28" s="14" t="n">
        <v>700</v>
      </c>
      <c r="C28" s="11">
        <f>B28*3</f>
        <v/>
      </c>
      <c r="D28" s="4" t="inlineStr">
        <is>
          <t>초보·소모품 여유</t>
        </is>
      </c>
      <c r="E28" s="4" t="inlineStr"/>
    </row>
    <row r="29">
      <c r="A29" s="4" t="inlineStr">
        <is>
          <t>표준</t>
        </is>
      </c>
      <c r="B29" s="14" t="n">
        <v>500</v>
      </c>
      <c r="C29" s="11">
        <f>B29*3</f>
        <v/>
      </c>
      <c r="D29" s="4" t="inlineStr">
        <is>
          <t>기본. 업글은 환급으로</t>
        </is>
      </c>
      <c r="E29" s="4" t="inlineStr"/>
    </row>
    <row r="30">
      <c r="A30" s="4" t="inlineStr">
        <is>
          <t>위험</t>
        </is>
      </c>
      <c r="B30" s="14" t="n">
        <v>600</v>
      </c>
      <c r="C30" s="11">
        <f>B30*3</f>
        <v/>
      </c>
      <c r="D30" s="4" t="inlineStr">
        <is>
          <t>착수↑ but 물가·패널티↑</t>
        </is>
      </c>
      <c r="E30" s="4" t="inlineStr"/>
    </row>
    <row r="31">
      <c r="A31" s="4" t="inlineStr">
        <is>
          <t>극한</t>
        </is>
      </c>
      <c r="B31" s="14" t="n">
        <v>400</v>
      </c>
      <c r="C31" s="11">
        <f>B31*3</f>
        <v/>
      </c>
      <c r="D31" s="4" t="inlineStr">
        <is>
          <t>밑천 빡빡, 고환급·고리스크</t>
        </is>
      </c>
      <c r="E31" s="4" t="inlineStr"/>
    </row>
    <row r="33">
      <c r="A33" s="9" t="inlineStr">
        <is>
          <t>착수금 수정 배율</t>
        </is>
      </c>
      <c r="B33" s="9" t="n"/>
      <c r="C33" s="9" t="n"/>
      <c r="D33" s="9" t="n"/>
      <c r="E33" s="9" t="n"/>
    </row>
    <row r="34">
      <c r="A34" s="4" t="inlineStr">
        <is>
          <t>호감도 ≥ +2.0</t>
        </is>
      </c>
      <c r="B34" s="4" t="inlineStr">
        <is>
          <t>×1.1</t>
        </is>
      </c>
      <c r="C34" s="4" t="inlineStr"/>
      <c r="D34" s="4" t="inlineStr"/>
      <c r="E34" s="4" t="inlineStr"/>
    </row>
    <row r="35">
      <c r="A35" s="4" t="inlineStr">
        <is>
          <t>호감도 ≤ -2.0</t>
        </is>
      </c>
      <c r="B35" s="4" t="inlineStr">
        <is>
          <t>×0.9</t>
        </is>
      </c>
      <c r="C35" s="4" t="inlineStr"/>
      <c r="D35" s="4" t="inlineStr"/>
      <c r="E35" s="4" t="inlineStr"/>
    </row>
    <row r="36">
      <c r="A36" s="4" t="inlineStr">
        <is>
          <t>경고 상태(점검 실패 다음 정규일)</t>
        </is>
      </c>
      <c r="B36" s="4" t="inlineStr">
        <is>
          <t>×0.7</t>
        </is>
      </c>
      <c r="C36" s="4" t="inlineStr"/>
      <c r="D36" s="4" t="inlineStr"/>
      <c r="E36" s="4" t="inlineStr"/>
    </row>
    <row r="37">
      <c r="A37" s="4" t="inlineStr">
        <is>
          <t>Day4 비상</t>
        </is>
      </c>
      <c r="B37" s="4" t="inlineStr">
        <is>
          <t>0₡ 고정</t>
        </is>
      </c>
      <c r="C37" s="4" t="inlineStr"/>
      <c r="D37" s="4" t="inlineStr"/>
      <c r="E37" s="4" t="inlineStr"/>
    </row>
    <row r="39">
      <c r="A39" s="9" t="inlineStr">
        <is>
          <t>분리 정분류 환급 (₡)</t>
        </is>
      </c>
      <c r="B39" s="9" t="n"/>
      <c r="C39" s="9" t="n"/>
      <c r="D39" s="9" t="n"/>
      <c r="E39" s="9" t="n"/>
    </row>
    <row r="40">
      <c r="A40" s="3" t="inlineStr">
        <is>
          <t>칸</t>
        </is>
      </c>
      <c r="B40" s="3" t="inlineStr">
        <is>
          <t>평가 점수(05)</t>
        </is>
      </c>
      <c r="C40" s="3" t="inlineStr">
        <is>
          <t>기본 환급(₡)</t>
        </is>
      </c>
      <c r="D40" s="3" t="inlineStr">
        <is>
          <t>보너스 품목 합계(₡)</t>
        </is>
      </c>
      <c r="E40" s="3" t="inlineStr">
        <is>
          <t>비고</t>
        </is>
      </c>
    </row>
    <row r="41">
      <c r="A41" s="4" t="inlineStr">
        <is>
          <t>금속</t>
        </is>
      </c>
      <c r="B41" s="7" t="n">
        <v>20</v>
      </c>
      <c r="C41" s="14" t="n">
        <v>10</v>
      </c>
      <c r="D41" s="14" t="n">
        <v>13</v>
      </c>
      <c r="E41" s="4" t="inlineStr">
        <is>
          <t>폐공구 +3 → 13</t>
        </is>
      </c>
    </row>
    <row r="42">
      <c r="A42" s="4" t="inlineStr">
        <is>
          <t>일반쓰레기</t>
        </is>
      </c>
      <c r="B42" s="7" t="n">
        <v>12</v>
      </c>
      <c r="C42" s="14" t="n">
        <v>6</v>
      </c>
      <c r="D42" s="14" t="n">
        <v>8</v>
      </c>
      <c r="E42" s="4" t="inlineStr">
        <is>
          <t>작업복 +2 → 8</t>
        </is>
      </c>
    </row>
    <row r="43">
      <c r="A43" s="4" t="inlineStr">
        <is>
          <t>플라스틱</t>
        </is>
      </c>
      <c r="B43" s="7" t="n">
        <v>16</v>
      </c>
      <c r="C43" s="14" t="n">
        <v>8</v>
      </c>
      <c r="D43" s="7" t="inlineStr">
        <is>
          <t>-</t>
        </is>
      </c>
      <c r="E43" s="4" t="inlineStr">
        <is>
          <t>-</t>
        </is>
      </c>
    </row>
    <row r="44">
      <c r="A44" s="4" t="inlineStr">
        <is>
          <t>오염된 쓰레기</t>
        </is>
      </c>
      <c r="B44" s="7" t="n">
        <v>32</v>
      </c>
      <c r="C44" s="14" t="n">
        <v>16</v>
      </c>
      <c r="D44" s="14" t="n">
        <v>20</v>
      </c>
      <c r="E44" s="4" t="inlineStr">
        <is>
          <t>폐전지 +4 → 20</t>
        </is>
      </c>
    </row>
    <row r="45">
      <c r="A45" s="4" t="inlineStr">
        <is>
          <t>안타는 쓰레기</t>
        </is>
      </c>
      <c r="B45" s="7" t="n">
        <v>16</v>
      </c>
      <c r="C45" s="14" t="n">
        <v>8</v>
      </c>
      <c r="D45" s="14" t="n">
        <v>10</v>
      </c>
      <c r="E45" s="4" t="inlineStr">
        <is>
          <t>유리 +2 → 10</t>
        </is>
      </c>
    </row>
    <row r="47">
      <c r="A47" s="5" t="inlineStr">
        <is>
          <t>벽 1세그(70% 제거·만점 정분류) 환급 = 7×플라스틱단가(8) + 3×오염단가(16):</t>
        </is>
      </c>
      <c r="D47" s="26">
        <f>7*C43+3*C44</f>
        <v/>
      </c>
    </row>
    <row r="49">
      <c r="A49" s="9" t="inlineStr">
        <is>
          <t>퀘스트 보수 (₡)</t>
        </is>
      </c>
      <c r="B49" s="9" t="n"/>
      <c r="C49" s="9" t="n"/>
      <c r="D49" s="9" t="n"/>
      <c r="E49" s="9" t="n"/>
    </row>
    <row r="50">
      <c r="A50" s="3" t="inlineStr">
        <is>
          <t>퀘스트 유형</t>
        </is>
      </c>
      <c r="B50" s="3" t="inlineStr">
        <is>
          <t>성공 조건(예)</t>
        </is>
      </c>
      <c r="C50" s="3" t="inlineStr">
        <is>
          <t>보수(₡)</t>
        </is>
      </c>
      <c r="D50" s="3" t="inlineStr">
        <is>
          <t>실패 시</t>
        </is>
      </c>
      <c r="E50" s="3" t="inlineStr">
        <is>
          <t>비고</t>
        </is>
      </c>
    </row>
    <row r="51">
      <c r="A51" s="4" t="inlineStr">
        <is>
          <t>회수 C Intact</t>
        </is>
      </c>
      <c r="B51" s="4" t="inlineStr">
        <is>
          <t>지정 C 샘플 Intact 납품</t>
        </is>
      </c>
      <c r="C51" s="14" t="n">
        <v>80</v>
      </c>
      <c r="D51" s="7" t="inlineStr">
        <is>
          <t>크레딧 0 (호감도만 하락)</t>
        </is>
      </c>
      <c r="E51" s="4" t="inlineStr">
        <is>
          <t>-</t>
        </is>
      </c>
    </row>
    <row r="52">
      <c r="A52" s="4" t="inlineStr">
        <is>
          <t>회수 B Intact</t>
        </is>
      </c>
      <c r="B52" s="4" t="inlineStr">
        <is>
          <t>지정 B Intact</t>
        </is>
      </c>
      <c r="C52" s="14" t="n">
        <v>160</v>
      </c>
      <c r="D52" s="7" t="inlineStr">
        <is>
          <t>크레딧 0 (호감도만 하락)</t>
        </is>
      </c>
      <c r="E52" s="4" t="inlineStr">
        <is>
          <t>-</t>
        </is>
      </c>
    </row>
    <row r="53">
      <c r="A53" s="4" t="inlineStr">
        <is>
          <t>회수 A Intact</t>
        </is>
      </c>
      <c r="B53" s="4" t="inlineStr">
        <is>
          <t>지정 A Intact</t>
        </is>
      </c>
      <c r="C53" s="14" t="n">
        <v>280</v>
      </c>
      <c r="D53" s="7" t="inlineStr">
        <is>
          <t>크레딧 0 (호감도만 하락)</t>
        </is>
      </c>
      <c r="E53" s="4" t="inlineStr">
        <is>
          <t>-</t>
        </is>
      </c>
    </row>
    <row r="54">
      <c r="A54" s="4" t="inlineStr">
        <is>
          <t>회수 S Intact</t>
        </is>
      </c>
      <c r="B54" s="4" t="inlineStr">
        <is>
          <t>지정 S Intact</t>
        </is>
      </c>
      <c r="C54" s="14" t="n">
        <v>450</v>
      </c>
      <c r="D54" s="7" t="inlineStr">
        <is>
          <t>크레딧 0 (호감도만 하락)</t>
        </is>
      </c>
      <c r="E54" s="4" t="inlineStr">
        <is>
          <t>-</t>
        </is>
      </c>
    </row>
    <row r="55">
      <c r="A55" s="4" t="inlineStr">
        <is>
          <t>복합 (A+청소)</t>
        </is>
      </c>
      <c r="B55" s="4" t="inlineStr">
        <is>
          <t>A Intact + 청소 조건</t>
        </is>
      </c>
      <c r="C55" s="14" t="n">
        <v>350</v>
      </c>
      <c r="D55" s="7" t="inlineStr">
        <is>
          <t>크레딧 0 (호감도만 하락)</t>
        </is>
      </c>
      <c r="E55" s="4" t="inlineStr">
        <is>
          <t>-</t>
        </is>
      </c>
    </row>
    <row r="56">
      <c r="A56" s="4" t="inlineStr">
        <is>
          <t>손상 허용 회수</t>
        </is>
      </c>
      <c r="B56" s="4" t="inlineStr">
        <is>
          <t>지정 샘플 손상 이상 납품</t>
        </is>
      </c>
      <c r="C56" s="7" t="inlineStr">
        <is>
          <t>위 보수의 50%</t>
        </is>
      </c>
      <c r="D56" s="7" t="inlineStr">
        <is>
          <t>크레딧 0 (호감도만 하락)</t>
        </is>
      </c>
      <c r="E56" s="4" t="inlineStr">
        <is>
          <t>-</t>
        </is>
      </c>
    </row>
    <row r="57">
      <c r="A57" s="4" t="inlineStr">
        <is>
          <t>청소 계약</t>
        </is>
      </c>
      <c r="B57" s="4" t="inlineStr">
        <is>
          <t>지정 구역 정분류 N개</t>
        </is>
      </c>
      <c r="C57" s="14" t="n">
        <v>120</v>
      </c>
      <c r="D57" s="7" t="inlineStr">
        <is>
          <t>크레딧 0 (호감도만 하락)</t>
        </is>
      </c>
      <c r="E57" s="4" t="inlineStr">
        <is>
          <t>-</t>
        </is>
      </c>
    </row>
    <row r="58">
      <c r="A58" s="4" t="inlineStr">
        <is>
          <t>마감 계약</t>
        </is>
      </c>
      <c r="B58" s="4" t="inlineStr">
        <is>
          <t>지정 섹터 마감</t>
        </is>
      </c>
      <c r="C58" s="14" t="n">
        <v>100</v>
      </c>
      <c r="D58" s="7" t="inlineStr">
        <is>
          <t>크레딧 0 (호감도만 하락)</t>
        </is>
      </c>
      <c r="E58" s="4" t="inlineStr">
        <is>
          <t>-</t>
        </is>
      </c>
    </row>
    <row r="59">
      <c r="A59" s="5" t="inlineStr">
        <is>
          <t>실패(미회수·파괴·포기) 시 크레딧 위약금 없음 — 팀 결정. 호감도만 하락(미회수&lt;파괴), 정확한 델타값은 미확정.</t>
        </is>
      </c>
    </row>
    <row r="61">
      <c r="A61" s="9" t="inlineStr">
        <is>
          <t>대출</t>
        </is>
      </c>
      <c r="B61" s="9" t="n"/>
      <c r="C61" s="9" t="n"/>
      <c r="D61" s="9" t="n"/>
      <c r="E61" s="9" t="n"/>
    </row>
    <row r="62">
      <c r="A62" s="4" t="inlineStr">
        <is>
          <t>대출 가능처</t>
        </is>
      </c>
      <c r="B62" s="4" t="inlineStr">
        <is>
          <t>모선 상인만</t>
        </is>
      </c>
      <c r="C62" s="4" t="inlineStr"/>
      <c r="D62" s="4" t="inlineStr"/>
      <c r="E62" s="4" t="inlineStr"/>
    </row>
    <row r="63">
      <c r="A63" s="4" t="inlineStr">
        <is>
          <t>기본 한도</t>
        </is>
      </c>
      <c r="B63" s="4" t="inlineStr">
        <is>
          <t>800₡</t>
        </is>
      </c>
      <c r="C63" s="4" t="inlineStr"/>
      <c r="D63" s="4" t="inlineStr"/>
      <c r="E63" s="4" t="inlineStr"/>
    </row>
    <row r="64">
      <c r="A64" s="4" t="inlineStr">
        <is>
          <t>호감 ≥+2 한도</t>
        </is>
      </c>
      <c r="B64" s="4" t="inlineStr">
        <is>
          <t>1,200₡</t>
        </is>
      </c>
      <c r="C64" s="4" t="inlineStr"/>
      <c r="D64" s="4" t="inlineStr"/>
      <c r="E64" s="4" t="inlineStr"/>
    </row>
    <row r="65">
      <c r="A65" s="4" t="inlineStr">
        <is>
          <t>호감 ≤-2 한도</t>
        </is>
      </c>
      <c r="B65" s="4" t="inlineStr">
        <is>
          <t>400₡</t>
        </is>
      </c>
      <c r="C65" s="4" t="inlineStr"/>
      <c r="D65" s="4" t="inlineStr"/>
      <c r="E65" s="4" t="inlineStr"/>
    </row>
    <row r="66">
      <c r="A66" s="4" t="inlineStr">
        <is>
          <t>일 이자</t>
        </is>
      </c>
      <c r="B66" s="4" t="inlineStr">
        <is>
          <t>5% (미상환 잔액)</t>
        </is>
      </c>
      <c r="C66" s="4" t="inlineStr"/>
      <c r="D66" s="4" t="inlineStr"/>
      <c r="E66" s="4" t="inlineStr"/>
    </row>
    <row r="67">
      <c r="A67" s="4" t="inlineStr">
        <is>
          <t>패널티</t>
        </is>
      </c>
      <c r="B67" s="4" t="inlineStr">
        <is>
          <t>이자만 (입장 금지·강제 호감↓ 없음)</t>
        </is>
      </c>
      <c r="C67" s="4" t="inlineStr"/>
      <c r="D67" s="4" t="inlineStr"/>
      <c r="E67" s="4" t="inlineStr"/>
    </row>
    <row r="69">
      <c r="A69" s="9" t="inlineStr">
        <is>
          <t>난이도별 상점·물가 배율</t>
        </is>
      </c>
      <c r="B69" s="9" t="n"/>
      <c r="C69" s="9" t="n"/>
      <c r="D69" s="9" t="n"/>
      <c r="E69" s="9" t="n"/>
    </row>
    <row r="70">
      <c r="A70" s="3" t="inlineStr">
        <is>
          <t>난이도</t>
        </is>
      </c>
      <c r="B70" s="3" t="inlineStr">
        <is>
          <t>착수(₡)</t>
        </is>
      </c>
      <c r="C70" s="3" t="inlineStr">
        <is>
          <t>소모품 물가</t>
        </is>
      </c>
      <c r="D70" s="3" t="inlineStr">
        <is>
          <t>장비 물가</t>
        </is>
      </c>
      <c r="E70" s="3" t="inlineStr">
        <is>
          <t>환급 / 과태료</t>
        </is>
      </c>
    </row>
    <row r="71">
      <c r="A71" s="4" t="inlineStr">
        <is>
          <t>안전</t>
        </is>
      </c>
      <c r="B71" s="14" t="n">
        <v>700</v>
      </c>
      <c r="C71" s="4" t="inlineStr">
        <is>
          <t>×0.85</t>
        </is>
      </c>
      <c r="D71" s="4" t="inlineStr">
        <is>
          <t>×0.9</t>
        </is>
      </c>
      <c r="E71" s="4" t="inlineStr">
        <is>
          <t>×1.0 / ×0.8</t>
        </is>
      </c>
    </row>
    <row r="72">
      <c r="A72" s="4" t="inlineStr">
        <is>
          <t>표준</t>
        </is>
      </c>
      <c r="B72" s="14" t="n">
        <v>500</v>
      </c>
      <c r="C72" s="4" t="inlineStr">
        <is>
          <t>×1.0</t>
        </is>
      </c>
      <c r="D72" s="4" t="inlineStr">
        <is>
          <t>×1.0</t>
        </is>
      </c>
      <c r="E72" s="4" t="inlineStr">
        <is>
          <t>×1.0 / ×1.0</t>
        </is>
      </c>
    </row>
    <row r="73">
      <c r="A73" s="4" t="inlineStr">
        <is>
          <t>위험</t>
        </is>
      </c>
      <c r="B73" s="14" t="n">
        <v>600</v>
      </c>
      <c r="C73" s="4" t="inlineStr">
        <is>
          <t>×1.15</t>
        </is>
      </c>
      <c r="D73" s="4" t="inlineStr">
        <is>
          <t>×1.1</t>
        </is>
      </c>
      <c r="E73" s="4" t="inlineStr">
        <is>
          <t>×1.1 / ×1.2</t>
        </is>
      </c>
    </row>
    <row r="74">
      <c r="A74" s="4" t="inlineStr">
        <is>
          <t>극한</t>
        </is>
      </c>
      <c r="B74" s="14" t="n">
        <v>400</v>
      </c>
      <c r="C74" s="4" t="inlineStr">
        <is>
          <t>×1.25</t>
        </is>
      </c>
      <c r="D74" s="4" t="inlineStr">
        <is>
          <t>×1.2</t>
        </is>
      </c>
      <c r="E74" s="4" t="inlineStr">
        <is>
          <t>×1.2 / ×1.4</t>
        </is>
      </c>
    </row>
  </sheetData>
  <mergeCells count="5">
    <mergeCell ref="A59:E59"/>
    <mergeCell ref="A24:E24"/>
    <mergeCell ref="A47:C47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2026-08-03T10:42:18Z</dcterms:created>
  <dcterms:modified xmlns:dcterms="http://purl.org/dc/terms/" xmlns:xsi="http://www.w3.org/2001/XMLSchema-instance" xsi:type="dcterms:W3CDTF">2026-08-03T10:42:18Z</dcterms:modified>
</cp:coreProperties>
</file>